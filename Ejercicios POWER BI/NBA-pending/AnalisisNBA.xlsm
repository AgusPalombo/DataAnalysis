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/>
  <mc:AlternateContent xmlns:mc="http://schemas.openxmlformats.org/markup-compatibility/2006">
    <mc:Choice Requires="x15">
      <x15ac:absPath xmlns:x15ac="http://schemas.microsoft.com/office/spreadsheetml/2010/11/ac" url="D:\MySQL\Proyectos\SQL\NBA\"/>
    </mc:Choice>
  </mc:AlternateContent>
  <xr:revisionPtr revIDLastSave="0" documentId="13_ncr:1_{07A72736-600C-4450-A0D4-D0373D63FEBC}" xr6:coauthVersionLast="47" xr6:coauthVersionMax="47" xr10:uidLastSave="{00000000-0000-0000-0000-000000000000}"/>
  <bookViews>
    <workbookView xWindow="-120" yWindow="-120" windowWidth="29040" windowHeight="15720" xr2:uid="{FD1C2571-66FE-44FA-BFAA-18F94B540BBF}"/>
  </bookViews>
  <sheets>
    <sheet name="database_24_25" sheetId="2" r:id="rId1"/>
    <sheet name="10 Mejores Anotadores" sheetId="6" r:id="rId2"/>
    <sheet name="Estadisticas por equipo" sheetId="7" r:id="rId3"/>
    <sheet name="Eficiencia" sheetId="8" r:id="rId4"/>
    <sheet name="Comparacion de Jugadores" sheetId="9" r:id="rId5"/>
  </sheets>
  <definedNames>
    <definedName name="SegmentaciónDeDatos_Player">#N/A</definedName>
    <definedName name="SegmentaciónDeDatos_Pos">#N/A</definedName>
    <definedName name="SegmentaciónDeDatos_Team">#N/A</definedName>
  </definedNames>
  <calcPr calcId="191029"/>
  <pivotCaches>
    <pivotCache cacheId="92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" i="2" l="1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R7" i="2"/>
  <c r="R47" i="2"/>
  <c r="R74" i="2"/>
  <c r="R75" i="2"/>
  <c r="R85" i="2"/>
  <c r="R147" i="2"/>
  <c r="R148" i="2"/>
  <c r="R168" i="2"/>
  <c r="R175" i="2"/>
  <c r="R227" i="2"/>
  <c r="R228" i="2"/>
  <c r="R255" i="2"/>
  <c r="R256" i="2"/>
  <c r="R367" i="2"/>
  <c r="R368" i="2"/>
  <c r="R447" i="2"/>
  <c r="R474" i="2"/>
  <c r="R475" i="2"/>
  <c r="R514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P3" i="2"/>
  <c r="R3" i="2" s="1"/>
  <c r="P4" i="2"/>
  <c r="R4" i="2" s="1"/>
  <c r="P5" i="2"/>
  <c r="R5" i="2" s="1"/>
  <c r="P6" i="2"/>
  <c r="R6" i="2" s="1"/>
  <c r="P7" i="2"/>
  <c r="P8" i="2"/>
  <c r="R8" i="2" s="1"/>
  <c r="P9" i="2"/>
  <c r="R9" i="2" s="1"/>
  <c r="P10" i="2"/>
  <c r="R10" i="2" s="1"/>
  <c r="P11" i="2"/>
  <c r="R11" i="2" s="1"/>
  <c r="P12" i="2"/>
  <c r="R12" i="2" s="1"/>
  <c r="P13" i="2"/>
  <c r="R13" i="2" s="1"/>
  <c r="P14" i="2"/>
  <c r="R14" i="2" s="1"/>
  <c r="P15" i="2"/>
  <c r="R15" i="2" s="1"/>
  <c r="P16" i="2"/>
  <c r="R16" i="2" s="1"/>
  <c r="P17" i="2"/>
  <c r="R17" i="2" s="1"/>
  <c r="P18" i="2"/>
  <c r="R18" i="2" s="1"/>
  <c r="P19" i="2"/>
  <c r="R19" i="2" s="1"/>
  <c r="P20" i="2"/>
  <c r="R20" i="2" s="1"/>
  <c r="P21" i="2"/>
  <c r="R21" i="2" s="1"/>
  <c r="P22" i="2"/>
  <c r="R22" i="2" s="1"/>
  <c r="P23" i="2"/>
  <c r="R23" i="2" s="1"/>
  <c r="P24" i="2"/>
  <c r="R24" i="2" s="1"/>
  <c r="P25" i="2"/>
  <c r="R25" i="2" s="1"/>
  <c r="P26" i="2"/>
  <c r="R26" i="2" s="1"/>
  <c r="P27" i="2"/>
  <c r="R27" i="2" s="1"/>
  <c r="P28" i="2"/>
  <c r="R28" i="2" s="1"/>
  <c r="P29" i="2"/>
  <c r="R29" i="2" s="1"/>
  <c r="P30" i="2"/>
  <c r="R30" i="2" s="1"/>
  <c r="P31" i="2"/>
  <c r="R31" i="2" s="1"/>
  <c r="P32" i="2"/>
  <c r="R32" i="2" s="1"/>
  <c r="P33" i="2"/>
  <c r="R33" i="2" s="1"/>
  <c r="P34" i="2"/>
  <c r="R34" i="2" s="1"/>
  <c r="P35" i="2"/>
  <c r="R35" i="2" s="1"/>
  <c r="P36" i="2"/>
  <c r="R36" i="2" s="1"/>
  <c r="P37" i="2"/>
  <c r="R37" i="2" s="1"/>
  <c r="P38" i="2"/>
  <c r="R38" i="2" s="1"/>
  <c r="P39" i="2"/>
  <c r="R39" i="2" s="1"/>
  <c r="P40" i="2"/>
  <c r="R40" i="2" s="1"/>
  <c r="P41" i="2"/>
  <c r="R41" i="2" s="1"/>
  <c r="P42" i="2"/>
  <c r="R42" i="2" s="1"/>
  <c r="P43" i="2"/>
  <c r="R43" i="2" s="1"/>
  <c r="P44" i="2"/>
  <c r="R44" i="2" s="1"/>
  <c r="P45" i="2"/>
  <c r="R45" i="2" s="1"/>
  <c r="P46" i="2"/>
  <c r="R46" i="2" s="1"/>
  <c r="P47" i="2"/>
  <c r="P48" i="2"/>
  <c r="R48" i="2" s="1"/>
  <c r="P49" i="2"/>
  <c r="R49" i="2" s="1"/>
  <c r="P50" i="2"/>
  <c r="R50" i="2" s="1"/>
  <c r="P51" i="2"/>
  <c r="R51" i="2" s="1"/>
  <c r="P52" i="2"/>
  <c r="R52" i="2" s="1"/>
  <c r="P53" i="2"/>
  <c r="R53" i="2" s="1"/>
  <c r="P54" i="2"/>
  <c r="R54" i="2" s="1"/>
  <c r="P55" i="2"/>
  <c r="R55" i="2" s="1"/>
  <c r="P56" i="2"/>
  <c r="R56" i="2" s="1"/>
  <c r="P57" i="2"/>
  <c r="R57" i="2" s="1"/>
  <c r="P58" i="2"/>
  <c r="R58" i="2" s="1"/>
  <c r="P59" i="2"/>
  <c r="R59" i="2" s="1"/>
  <c r="P60" i="2"/>
  <c r="R60" i="2" s="1"/>
  <c r="P61" i="2"/>
  <c r="R61" i="2" s="1"/>
  <c r="P62" i="2"/>
  <c r="R62" i="2" s="1"/>
  <c r="P63" i="2"/>
  <c r="R63" i="2" s="1"/>
  <c r="P64" i="2"/>
  <c r="R64" i="2" s="1"/>
  <c r="P65" i="2"/>
  <c r="R65" i="2" s="1"/>
  <c r="P66" i="2"/>
  <c r="R66" i="2" s="1"/>
  <c r="P67" i="2"/>
  <c r="R67" i="2" s="1"/>
  <c r="P68" i="2"/>
  <c r="R68" i="2" s="1"/>
  <c r="P69" i="2"/>
  <c r="R69" i="2" s="1"/>
  <c r="P70" i="2"/>
  <c r="R70" i="2" s="1"/>
  <c r="P71" i="2"/>
  <c r="R71" i="2" s="1"/>
  <c r="P72" i="2"/>
  <c r="R72" i="2" s="1"/>
  <c r="P73" i="2"/>
  <c r="R73" i="2" s="1"/>
  <c r="P74" i="2"/>
  <c r="P75" i="2"/>
  <c r="P76" i="2"/>
  <c r="R76" i="2" s="1"/>
  <c r="P77" i="2"/>
  <c r="R77" i="2" s="1"/>
  <c r="P78" i="2"/>
  <c r="R78" i="2" s="1"/>
  <c r="P79" i="2"/>
  <c r="R79" i="2" s="1"/>
  <c r="P80" i="2"/>
  <c r="R80" i="2" s="1"/>
  <c r="P81" i="2"/>
  <c r="R81" i="2" s="1"/>
  <c r="P82" i="2"/>
  <c r="R82" i="2" s="1"/>
  <c r="P83" i="2"/>
  <c r="R83" i="2" s="1"/>
  <c r="P84" i="2"/>
  <c r="R84" i="2" s="1"/>
  <c r="P85" i="2"/>
  <c r="P86" i="2"/>
  <c r="R86" i="2" s="1"/>
  <c r="P87" i="2"/>
  <c r="R87" i="2" s="1"/>
  <c r="P88" i="2"/>
  <c r="R88" i="2" s="1"/>
  <c r="P89" i="2"/>
  <c r="R89" i="2" s="1"/>
  <c r="P90" i="2"/>
  <c r="R90" i="2" s="1"/>
  <c r="P91" i="2"/>
  <c r="R91" i="2" s="1"/>
  <c r="P92" i="2"/>
  <c r="R92" i="2" s="1"/>
  <c r="P93" i="2"/>
  <c r="R93" i="2" s="1"/>
  <c r="P94" i="2"/>
  <c r="R94" i="2" s="1"/>
  <c r="P95" i="2"/>
  <c r="R95" i="2" s="1"/>
  <c r="P96" i="2"/>
  <c r="R96" i="2" s="1"/>
  <c r="P97" i="2"/>
  <c r="R97" i="2" s="1"/>
  <c r="P98" i="2"/>
  <c r="R98" i="2" s="1"/>
  <c r="P99" i="2"/>
  <c r="R99" i="2" s="1"/>
  <c r="P100" i="2"/>
  <c r="R100" i="2" s="1"/>
  <c r="P101" i="2"/>
  <c r="R101" i="2" s="1"/>
  <c r="P102" i="2"/>
  <c r="R102" i="2" s="1"/>
  <c r="P103" i="2"/>
  <c r="R103" i="2" s="1"/>
  <c r="P104" i="2"/>
  <c r="R104" i="2" s="1"/>
  <c r="P105" i="2"/>
  <c r="R105" i="2" s="1"/>
  <c r="P106" i="2"/>
  <c r="R106" i="2" s="1"/>
  <c r="P107" i="2"/>
  <c r="R107" i="2" s="1"/>
  <c r="P108" i="2"/>
  <c r="R108" i="2" s="1"/>
  <c r="P109" i="2"/>
  <c r="R109" i="2" s="1"/>
  <c r="P110" i="2"/>
  <c r="R110" i="2" s="1"/>
  <c r="P111" i="2"/>
  <c r="R111" i="2" s="1"/>
  <c r="P112" i="2"/>
  <c r="R112" i="2" s="1"/>
  <c r="P113" i="2"/>
  <c r="R113" i="2" s="1"/>
  <c r="P114" i="2"/>
  <c r="R114" i="2" s="1"/>
  <c r="P115" i="2"/>
  <c r="R115" i="2" s="1"/>
  <c r="P116" i="2"/>
  <c r="R116" i="2" s="1"/>
  <c r="P117" i="2"/>
  <c r="R117" i="2" s="1"/>
  <c r="P118" i="2"/>
  <c r="R118" i="2" s="1"/>
  <c r="P119" i="2"/>
  <c r="R119" i="2" s="1"/>
  <c r="P120" i="2"/>
  <c r="R120" i="2" s="1"/>
  <c r="P121" i="2"/>
  <c r="R121" i="2" s="1"/>
  <c r="P122" i="2"/>
  <c r="R122" i="2" s="1"/>
  <c r="P123" i="2"/>
  <c r="R123" i="2" s="1"/>
  <c r="P124" i="2"/>
  <c r="R124" i="2" s="1"/>
  <c r="P125" i="2"/>
  <c r="R125" i="2" s="1"/>
  <c r="P126" i="2"/>
  <c r="R126" i="2" s="1"/>
  <c r="P127" i="2"/>
  <c r="R127" i="2" s="1"/>
  <c r="P128" i="2"/>
  <c r="R128" i="2" s="1"/>
  <c r="P129" i="2"/>
  <c r="R129" i="2" s="1"/>
  <c r="P130" i="2"/>
  <c r="R130" i="2" s="1"/>
  <c r="P131" i="2"/>
  <c r="R131" i="2" s="1"/>
  <c r="P132" i="2"/>
  <c r="R132" i="2" s="1"/>
  <c r="P133" i="2"/>
  <c r="R133" i="2" s="1"/>
  <c r="P134" i="2"/>
  <c r="R134" i="2" s="1"/>
  <c r="P135" i="2"/>
  <c r="R135" i="2" s="1"/>
  <c r="P136" i="2"/>
  <c r="R136" i="2" s="1"/>
  <c r="P137" i="2"/>
  <c r="R137" i="2" s="1"/>
  <c r="P138" i="2"/>
  <c r="R138" i="2" s="1"/>
  <c r="P139" i="2"/>
  <c r="R139" i="2" s="1"/>
  <c r="P140" i="2"/>
  <c r="R140" i="2" s="1"/>
  <c r="P141" i="2"/>
  <c r="R141" i="2" s="1"/>
  <c r="P142" i="2"/>
  <c r="R142" i="2" s="1"/>
  <c r="P143" i="2"/>
  <c r="R143" i="2" s="1"/>
  <c r="P144" i="2"/>
  <c r="R144" i="2" s="1"/>
  <c r="P145" i="2"/>
  <c r="R145" i="2" s="1"/>
  <c r="P146" i="2"/>
  <c r="R146" i="2" s="1"/>
  <c r="P147" i="2"/>
  <c r="P148" i="2"/>
  <c r="P149" i="2"/>
  <c r="R149" i="2" s="1"/>
  <c r="P150" i="2"/>
  <c r="R150" i="2" s="1"/>
  <c r="P151" i="2"/>
  <c r="R151" i="2" s="1"/>
  <c r="P152" i="2"/>
  <c r="R152" i="2" s="1"/>
  <c r="P153" i="2"/>
  <c r="R153" i="2" s="1"/>
  <c r="P154" i="2"/>
  <c r="R154" i="2" s="1"/>
  <c r="P155" i="2"/>
  <c r="R155" i="2" s="1"/>
  <c r="P156" i="2"/>
  <c r="R156" i="2" s="1"/>
  <c r="P157" i="2"/>
  <c r="R157" i="2" s="1"/>
  <c r="P158" i="2"/>
  <c r="R158" i="2" s="1"/>
  <c r="P159" i="2"/>
  <c r="R159" i="2" s="1"/>
  <c r="P160" i="2"/>
  <c r="R160" i="2" s="1"/>
  <c r="P161" i="2"/>
  <c r="R161" i="2" s="1"/>
  <c r="P162" i="2"/>
  <c r="R162" i="2" s="1"/>
  <c r="P163" i="2"/>
  <c r="R163" i="2" s="1"/>
  <c r="P164" i="2"/>
  <c r="R164" i="2" s="1"/>
  <c r="P165" i="2"/>
  <c r="R165" i="2" s="1"/>
  <c r="P166" i="2"/>
  <c r="R166" i="2" s="1"/>
  <c r="P167" i="2"/>
  <c r="R167" i="2" s="1"/>
  <c r="P168" i="2"/>
  <c r="P169" i="2"/>
  <c r="R169" i="2" s="1"/>
  <c r="P170" i="2"/>
  <c r="R170" i="2" s="1"/>
  <c r="P171" i="2"/>
  <c r="R171" i="2" s="1"/>
  <c r="P172" i="2"/>
  <c r="R172" i="2" s="1"/>
  <c r="P173" i="2"/>
  <c r="R173" i="2" s="1"/>
  <c r="P174" i="2"/>
  <c r="R174" i="2" s="1"/>
  <c r="P175" i="2"/>
  <c r="P176" i="2"/>
  <c r="R176" i="2" s="1"/>
  <c r="P177" i="2"/>
  <c r="R177" i="2" s="1"/>
  <c r="P178" i="2"/>
  <c r="R178" i="2" s="1"/>
  <c r="P179" i="2"/>
  <c r="R179" i="2" s="1"/>
  <c r="P180" i="2"/>
  <c r="R180" i="2" s="1"/>
  <c r="P181" i="2"/>
  <c r="R181" i="2" s="1"/>
  <c r="P182" i="2"/>
  <c r="R182" i="2" s="1"/>
  <c r="P183" i="2"/>
  <c r="R183" i="2" s="1"/>
  <c r="P184" i="2"/>
  <c r="R184" i="2" s="1"/>
  <c r="P185" i="2"/>
  <c r="R185" i="2" s="1"/>
  <c r="P186" i="2"/>
  <c r="R186" i="2" s="1"/>
  <c r="P187" i="2"/>
  <c r="R187" i="2" s="1"/>
  <c r="P188" i="2"/>
  <c r="R188" i="2" s="1"/>
  <c r="P189" i="2"/>
  <c r="R189" i="2" s="1"/>
  <c r="P190" i="2"/>
  <c r="R190" i="2" s="1"/>
  <c r="P191" i="2"/>
  <c r="R191" i="2" s="1"/>
  <c r="P192" i="2"/>
  <c r="R192" i="2" s="1"/>
  <c r="P193" i="2"/>
  <c r="R193" i="2" s="1"/>
  <c r="P194" i="2"/>
  <c r="R194" i="2" s="1"/>
  <c r="P195" i="2"/>
  <c r="R195" i="2" s="1"/>
  <c r="P196" i="2"/>
  <c r="R196" i="2" s="1"/>
  <c r="P197" i="2"/>
  <c r="R197" i="2" s="1"/>
  <c r="P198" i="2"/>
  <c r="R198" i="2" s="1"/>
  <c r="P199" i="2"/>
  <c r="R199" i="2" s="1"/>
  <c r="P200" i="2"/>
  <c r="R200" i="2" s="1"/>
  <c r="P201" i="2"/>
  <c r="R201" i="2" s="1"/>
  <c r="P202" i="2"/>
  <c r="R202" i="2" s="1"/>
  <c r="P203" i="2"/>
  <c r="R203" i="2" s="1"/>
  <c r="P204" i="2"/>
  <c r="R204" i="2" s="1"/>
  <c r="P205" i="2"/>
  <c r="R205" i="2" s="1"/>
  <c r="P206" i="2"/>
  <c r="R206" i="2" s="1"/>
  <c r="P207" i="2"/>
  <c r="R207" i="2" s="1"/>
  <c r="P208" i="2"/>
  <c r="R208" i="2" s="1"/>
  <c r="P209" i="2"/>
  <c r="R209" i="2" s="1"/>
  <c r="P210" i="2"/>
  <c r="R210" i="2" s="1"/>
  <c r="P211" i="2"/>
  <c r="R211" i="2" s="1"/>
  <c r="P212" i="2"/>
  <c r="R212" i="2" s="1"/>
  <c r="P213" i="2"/>
  <c r="R213" i="2" s="1"/>
  <c r="P214" i="2"/>
  <c r="R214" i="2" s="1"/>
  <c r="P215" i="2"/>
  <c r="R215" i="2" s="1"/>
  <c r="P216" i="2"/>
  <c r="R216" i="2" s="1"/>
  <c r="P217" i="2"/>
  <c r="R217" i="2" s="1"/>
  <c r="P218" i="2"/>
  <c r="R218" i="2" s="1"/>
  <c r="P219" i="2"/>
  <c r="R219" i="2" s="1"/>
  <c r="P220" i="2"/>
  <c r="R220" i="2" s="1"/>
  <c r="P221" i="2"/>
  <c r="R221" i="2" s="1"/>
  <c r="P222" i="2"/>
  <c r="R222" i="2" s="1"/>
  <c r="P223" i="2"/>
  <c r="R223" i="2" s="1"/>
  <c r="P224" i="2"/>
  <c r="R224" i="2" s="1"/>
  <c r="P225" i="2"/>
  <c r="R225" i="2" s="1"/>
  <c r="P226" i="2"/>
  <c r="R226" i="2" s="1"/>
  <c r="P227" i="2"/>
  <c r="P228" i="2"/>
  <c r="P229" i="2"/>
  <c r="R229" i="2" s="1"/>
  <c r="P230" i="2"/>
  <c r="R230" i="2" s="1"/>
  <c r="P231" i="2"/>
  <c r="R231" i="2" s="1"/>
  <c r="P232" i="2"/>
  <c r="R232" i="2" s="1"/>
  <c r="P233" i="2"/>
  <c r="R233" i="2" s="1"/>
  <c r="P234" i="2"/>
  <c r="R234" i="2" s="1"/>
  <c r="P235" i="2"/>
  <c r="R235" i="2" s="1"/>
  <c r="P236" i="2"/>
  <c r="R236" i="2" s="1"/>
  <c r="P237" i="2"/>
  <c r="R237" i="2" s="1"/>
  <c r="P238" i="2"/>
  <c r="R238" i="2" s="1"/>
  <c r="P239" i="2"/>
  <c r="R239" i="2" s="1"/>
  <c r="P240" i="2"/>
  <c r="R240" i="2" s="1"/>
  <c r="P241" i="2"/>
  <c r="R241" i="2" s="1"/>
  <c r="P242" i="2"/>
  <c r="R242" i="2" s="1"/>
  <c r="P243" i="2"/>
  <c r="R243" i="2" s="1"/>
  <c r="P244" i="2"/>
  <c r="R244" i="2" s="1"/>
  <c r="P245" i="2"/>
  <c r="R245" i="2" s="1"/>
  <c r="P246" i="2"/>
  <c r="R246" i="2" s="1"/>
  <c r="P247" i="2"/>
  <c r="R247" i="2" s="1"/>
  <c r="P248" i="2"/>
  <c r="R248" i="2" s="1"/>
  <c r="P249" i="2"/>
  <c r="R249" i="2" s="1"/>
  <c r="P250" i="2"/>
  <c r="R250" i="2" s="1"/>
  <c r="P251" i="2"/>
  <c r="R251" i="2" s="1"/>
  <c r="P252" i="2"/>
  <c r="R252" i="2" s="1"/>
  <c r="P253" i="2"/>
  <c r="R253" i="2" s="1"/>
  <c r="P254" i="2"/>
  <c r="R254" i="2" s="1"/>
  <c r="P255" i="2"/>
  <c r="P256" i="2"/>
  <c r="P257" i="2"/>
  <c r="R257" i="2" s="1"/>
  <c r="P258" i="2"/>
  <c r="R258" i="2" s="1"/>
  <c r="P259" i="2"/>
  <c r="R259" i="2" s="1"/>
  <c r="P260" i="2"/>
  <c r="R260" i="2" s="1"/>
  <c r="P261" i="2"/>
  <c r="R261" i="2" s="1"/>
  <c r="P262" i="2"/>
  <c r="R262" i="2" s="1"/>
  <c r="P263" i="2"/>
  <c r="R263" i="2" s="1"/>
  <c r="P264" i="2"/>
  <c r="R264" i="2" s="1"/>
  <c r="P265" i="2"/>
  <c r="R265" i="2" s="1"/>
  <c r="P266" i="2"/>
  <c r="R266" i="2" s="1"/>
  <c r="P267" i="2"/>
  <c r="R267" i="2" s="1"/>
  <c r="P268" i="2"/>
  <c r="R268" i="2" s="1"/>
  <c r="P269" i="2"/>
  <c r="R269" i="2" s="1"/>
  <c r="P270" i="2"/>
  <c r="R270" i="2" s="1"/>
  <c r="P271" i="2"/>
  <c r="R271" i="2" s="1"/>
  <c r="P272" i="2"/>
  <c r="R272" i="2" s="1"/>
  <c r="P273" i="2"/>
  <c r="R273" i="2" s="1"/>
  <c r="P274" i="2"/>
  <c r="R274" i="2" s="1"/>
  <c r="P275" i="2"/>
  <c r="R275" i="2" s="1"/>
  <c r="P276" i="2"/>
  <c r="R276" i="2" s="1"/>
  <c r="P277" i="2"/>
  <c r="R277" i="2" s="1"/>
  <c r="P278" i="2"/>
  <c r="R278" i="2" s="1"/>
  <c r="P279" i="2"/>
  <c r="R279" i="2" s="1"/>
  <c r="P280" i="2"/>
  <c r="R280" i="2" s="1"/>
  <c r="P281" i="2"/>
  <c r="R281" i="2" s="1"/>
  <c r="P282" i="2"/>
  <c r="R282" i="2" s="1"/>
  <c r="P283" i="2"/>
  <c r="R283" i="2" s="1"/>
  <c r="P284" i="2"/>
  <c r="R284" i="2" s="1"/>
  <c r="P285" i="2"/>
  <c r="R285" i="2" s="1"/>
  <c r="P286" i="2"/>
  <c r="R286" i="2" s="1"/>
  <c r="P287" i="2"/>
  <c r="R287" i="2" s="1"/>
  <c r="P288" i="2"/>
  <c r="R288" i="2" s="1"/>
  <c r="P289" i="2"/>
  <c r="R289" i="2" s="1"/>
  <c r="P290" i="2"/>
  <c r="R290" i="2" s="1"/>
  <c r="P291" i="2"/>
  <c r="R291" i="2" s="1"/>
  <c r="P292" i="2"/>
  <c r="R292" i="2" s="1"/>
  <c r="P293" i="2"/>
  <c r="R293" i="2" s="1"/>
  <c r="P294" i="2"/>
  <c r="R294" i="2" s="1"/>
  <c r="P295" i="2"/>
  <c r="R295" i="2" s="1"/>
  <c r="P296" i="2"/>
  <c r="R296" i="2" s="1"/>
  <c r="P297" i="2"/>
  <c r="R297" i="2" s="1"/>
  <c r="P298" i="2"/>
  <c r="R298" i="2" s="1"/>
  <c r="P299" i="2"/>
  <c r="R299" i="2" s="1"/>
  <c r="P300" i="2"/>
  <c r="R300" i="2" s="1"/>
  <c r="P301" i="2"/>
  <c r="R301" i="2" s="1"/>
  <c r="P302" i="2"/>
  <c r="R302" i="2" s="1"/>
  <c r="P303" i="2"/>
  <c r="R303" i="2" s="1"/>
  <c r="P304" i="2"/>
  <c r="R304" i="2" s="1"/>
  <c r="P305" i="2"/>
  <c r="R305" i="2" s="1"/>
  <c r="P306" i="2"/>
  <c r="R306" i="2" s="1"/>
  <c r="P307" i="2"/>
  <c r="R307" i="2" s="1"/>
  <c r="P308" i="2"/>
  <c r="R308" i="2" s="1"/>
  <c r="P309" i="2"/>
  <c r="R309" i="2" s="1"/>
  <c r="P310" i="2"/>
  <c r="R310" i="2" s="1"/>
  <c r="P311" i="2"/>
  <c r="R311" i="2" s="1"/>
  <c r="P312" i="2"/>
  <c r="R312" i="2" s="1"/>
  <c r="P313" i="2"/>
  <c r="R313" i="2" s="1"/>
  <c r="P314" i="2"/>
  <c r="R314" i="2" s="1"/>
  <c r="P315" i="2"/>
  <c r="R315" i="2" s="1"/>
  <c r="P316" i="2"/>
  <c r="R316" i="2" s="1"/>
  <c r="P317" i="2"/>
  <c r="R317" i="2" s="1"/>
  <c r="P318" i="2"/>
  <c r="R318" i="2" s="1"/>
  <c r="P319" i="2"/>
  <c r="R319" i="2" s="1"/>
  <c r="P320" i="2"/>
  <c r="R320" i="2" s="1"/>
  <c r="P321" i="2"/>
  <c r="R321" i="2" s="1"/>
  <c r="P322" i="2"/>
  <c r="R322" i="2" s="1"/>
  <c r="P323" i="2"/>
  <c r="R323" i="2" s="1"/>
  <c r="P324" i="2"/>
  <c r="R324" i="2" s="1"/>
  <c r="P325" i="2"/>
  <c r="R325" i="2" s="1"/>
  <c r="P326" i="2"/>
  <c r="R326" i="2" s="1"/>
  <c r="P327" i="2"/>
  <c r="R327" i="2" s="1"/>
  <c r="P328" i="2"/>
  <c r="R328" i="2" s="1"/>
  <c r="P329" i="2"/>
  <c r="R329" i="2" s="1"/>
  <c r="P330" i="2"/>
  <c r="R330" i="2" s="1"/>
  <c r="P331" i="2"/>
  <c r="R331" i="2" s="1"/>
  <c r="P332" i="2"/>
  <c r="R332" i="2" s="1"/>
  <c r="P333" i="2"/>
  <c r="R333" i="2" s="1"/>
  <c r="P334" i="2"/>
  <c r="R334" i="2" s="1"/>
  <c r="P335" i="2"/>
  <c r="R335" i="2" s="1"/>
  <c r="P336" i="2"/>
  <c r="R336" i="2" s="1"/>
  <c r="P337" i="2"/>
  <c r="R337" i="2" s="1"/>
  <c r="P338" i="2"/>
  <c r="R338" i="2" s="1"/>
  <c r="P339" i="2"/>
  <c r="R339" i="2" s="1"/>
  <c r="P340" i="2"/>
  <c r="R340" i="2" s="1"/>
  <c r="P341" i="2"/>
  <c r="R341" i="2" s="1"/>
  <c r="P342" i="2"/>
  <c r="R342" i="2" s="1"/>
  <c r="P343" i="2"/>
  <c r="R343" i="2" s="1"/>
  <c r="P344" i="2"/>
  <c r="R344" i="2" s="1"/>
  <c r="P345" i="2"/>
  <c r="R345" i="2" s="1"/>
  <c r="P346" i="2"/>
  <c r="R346" i="2" s="1"/>
  <c r="P347" i="2"/>
  <c r="R347" i="2" s="1"/>
  <c r="P348" i="2"/>
  <c r="R348" i="2" s="1"/>
  <c r="P349" i="2"/>
  <c r="R349" i="2" s="1"/>
  <c r="P350" i="2"/>
  <c r="R350" i="2" s="1"/>
  <c r="P351" i="2"/>
  <c r="R351" i="2" s="1"/>
  <c r="P352" i="2"/>
  <c r="R352" i="2" s="1"/>
  <c r="P353" i="2"/>
  <c r="R353" i="2" s="1"/>
  <c r="P354" i="2"/>
  <c r="R354" i="2" s="1"/>
  <c r="P355" i="2"/>
  <c r="R355" i="2" s="1"/>
  <c r="P356" i="2"/>
  <c r="R356" i="2" s="1"/>
  <c r="P357" i="2"/>
  <c r="R357" i="2" s="1"/>
  <c r="P358" i="2"/>
  <c r="R358" i="2" s="1"/>
  <c r="P359" i="2"/>
  <c r="R359" i="2" s="1"/>
  <c r="P360" i="2"/>
  <c r="R360" i="2" s="1"/>
  <c r="P361" i="2"/>
  <c r="R361" i="2" s="1"/>
  <c r="P362" i="2"/>
  <c r="R362" i="2" s="1"/>
  <c r="P363" i="2"/>
  <c r="R363" i="2" s="1"/>
  <c r="P364" i="2"/>
  <c r="R364" i="2" s="1"/>
  <c r="P365" i="2"/>
  <c r="R365" i="2" s="1"/>
  <c r="P366" i="2"/>
  <c r="R366" i="2" s="1"/>
  <c r="P367" i="2"/>
  <c r="P368" i="2"/>
  <c r="P369" i="2"/>
  <c r="R369" i="2" s="1"/>
  <c r="P370" i="2"/>
  <c r="R370" i="2" s="1"/>
  <c r="P371" i="2"/>
  <c r="R371" i="2" s="1"/>
  <c r="P372" i="2"/>
  <c r="R372" i="2" s="1"/>
  <c r="P373" i="2"/>
  <c r="R373" i="2" s="1"/>
  <c r="P374" i="2"/>
  <c r="R374" i="2" s="1"/>
  <c r="P375" i="2"/>
  <c r="R375" i="2" s="1"/>
  <c r="P376" i="2"/>
  <c r="R376" i="2" s="1"/>
  <c r="P377" i="2"/>
  <c r="R377" i="2" s="1"/>
  <c r="P378" i="2"/>
  <c r="R378" i="2" s="1"/>
  <c r="P379" i="2"/>
  <c r="R379" i="2" s="1"/>
  <c r="P380" i="2"/>
  <c r="R380" i="2" s="1"/>
  <c r="P381" i="2"/>
  <c r="R381" i="2" s="1"/>
  <c r="P382" i="2"/>
  <c r="R382" i="2" s="1"/>
  <c r="P383" i="2"/>
  <c r="R383" i="2" s="1"/>
  <c r="P384" i="2"/>
  <c r="R384" i="2" s="1"/>
  <c r="P385" i="2"/>
  <c r="R385" i="2" s="1"/>
  <c r="P386" i="2"/>
  <c r="R386" i="2" s="1"/>
  <c r="P387" i="2"/>
  <c r="R387" i="2" s="1"/>
  <c r="P388" i="2"/>
  <c r="R388" i="2" s="1"/>
  <c r="P389" i="2"/>
  <c r="R389" i="2" s="1"/>
  <c r="P390" i="2"/>
  <c r="R390" i="2" s="1"/>
  <c r="P391" i="2"/>
  <c r="R391" i="2" s="1"/>
  <c r="P392" i="2"/>
  <c r="R392" i="2" s="1"/>
  <c r="P393" i="2"/>
  <c r="R393" i="2" s="1"/>
  <c r="P394" i="2"/>
  <c r="R394" i="2" s="1"/>
  <c r="P395" i="2"/>
  <c r="R395" i="2" s="1"/>
  <c r="P396" i="2"/>
  <c r="R396" i="2" s="1"/>
  <c r="P397" i="2"/>
  <c r="R397" i="2" s="1"/>
  <c r="P398" i="2"/>
  <c r="R398" i="2" s="1"/>
  <c r="P399" i="2"/>
  <c r="R399" i="2" s="1"/>
  <c r="P400" i="2"/>
  <c r="R400" i="2" s="1"/>
  <c r="P401" i="2"/>
  <c r="R401" i="2" s="1"/>
  <c r="P402" i="2"/>
  <c r="R402" i="2" s="1"/>
  <c r="P403" i="2"/>
  <c r="R403" i="2" s="1"/>
  <c r="P404" i="2"/>
  <c r="R404" i="2" s="1"/>
  <c r="P405" i="2"/>
  <c r="R405" i="2" s="1"/>
  <c r="P406" i="2"/>
  <c r="R406" i="2" s="1"/>
  <c r="P407" i="2"/>
  <c r="R407" i="2" s="1"/>
  <c r="P408" i="2"/>
  <c r="R408" i="2" s="1"/>
  <c r="P409" i="2"/>
  <c r="R409" i="2" s="1"/>
  <c r="P410" i="2"/>
  <c r="R410" i="2" s="1"/>
  <c r="P411" i="2"/>
  <c r="R411" i="2" s="1"/>
  <c r="P412" i="2"/>
  <c r="R412" i="2" s="1"/>
  <c r="P413" i="2"/>
  <c r="R413" i="2" s="1"/>
  <c r="P414" i="2"/>
  <c r="R414" i="2" s="1"/>
  <c r="P415" i="2"/>
  <c r="R415" i="2" s="1"/>
  <c r="P416" i="2"/>
  <c r="R416" i="2" s="1"/>
  <c r="P417" i="2"/>
  <c r="R417" i="2" s="1"/>
  <c r="P418" i="2"/>
  <c r="R418" i="2" s="1"/>
  <c r="P419" i="2"/>
  <c r="R419" i="2" s="1"/>
  <c r="P420" i="2"/>
  <c r="R420" i="2" s="1"/>
  <c r="P421" i="2"/>
  <c r="R421" i="2" s="1"/>
  <c r="P422" i="2"/>
  <c r="R422" i="2" s="1"/>
  <c r="P423" i="2"/>
  <c r="R423" i="2" s="1"/>
  <c r="P424" i="2"/>
  <c r="R424" i="2" s="1"/>
  <c r="P425" i="2"/>
  <c r="R425" i="2" s="1"/>
  <c r="P426" i="2"/>
  <c r="R426" i="2" s="1"/>
  <c r="P427" i="2"/>
  <c r="R427" i="2" s="1"/>
  <c r="P428" i="2"/>
  <c r="R428" i="2" s="1"/>
  <c r="P429" i="2"/>
  <c r="R429" i="2" s="1"/>
  <c r="P430" i="2"/>
  <c r="R430" i="2" s="1"/>
  <c r="P431" i="2"/>
  <c r="R431" i="2" s="1"/>
  <c r="P432" i="2"/>
  <c r="R432" i="2" s="1"/>
  <c r="P433" i="2"/>
  <c r="R433" i="2" s="1"/>
  <c r="P434" i="2"/>
  <c r="R434" i="2" s="1"/>
  <c r="P435" i="2"/>
  <c r="R435" i="2" s="1"/>
  <c r="P436" i="2"/>
  <c r="R436" i="2" s="1"/>
  <c r="P437" i="2"/>
  <c r="R437" i="2" s="1"/>
  <c r="P438" i="2"/>
  <c r="R438" i="2" s="1"/>
  <c r="P439" i="2"/>
  <c r="R439" i="2" s="1"/>
  <c r="P440" i="2"/>
  <c r="R440" i="2" s="1"/>
  <c r="P441" i="2"/>
  <c r="R441" i="2" s="1"/>
  <c r="P442" i="2"/>
  <c r="R442" i="2" s="1"/>
  <c r="P443" i="2"/>
  <c r="R443" i="2" s="1"/>
  <c r="P444" i="2"/>
  <c r="R444" i="2" s="1"/>
  <c r="P445" i="2"/>
  <c r="R445" i="2" s="1"/>
  <c r="P446" i="2"/>
  <c r="R446" i="2" s="1"/>
  <c r="P447" i="2"/>
  <c r="P448" i="2"/>
  <c r="R448" i="2" s="1"/>
  <c r="P449" i="2"/>
  <c r="R449" i="2" s="1"/>
  <c r="P450" i="2"/>
  <c r="R450" i="2" s="1"/>
  <c r="P451" i="2"/>
  <c r="R451" i="2" s="1"/>
  <c r="P452" i="2"/>
  <c r="R452" i="2" s="1"/>
  <c r="P453" i="2"/>
  <c r="R453" i="2" s="1"/>
  <c r="P454" i="2"/>
  <c r="R454" i="2" s="1"/>
  <c r="P455" i="2"/>
  <c r="R455" i="2" s="1"/>
  <c r="P456" i="2"/>
  <c r="R456" i="2" s="1"/>
  <c r="P457" i="2"/>
  <c r="R457" i="2" s="1"/>
  <c r="P458" i="2"/>
  <c r="R458" i="2" s="1"/>
  <c r="P459" i="2"/>
  <c r="R459" i="2" s="1"/>
  <c r="P460" i="2"/>
  <c r="R460" i="2" s="1"/>
  <c r="P461" i="2"/>
  <c r="R461" i="2" s="1"/>
  <c r="P462" i="2"/>
  <c r="R462" i="2" s="1"/>
  <c r="P463" i="2"/>
  <c r="R463" i="2" s="1"/>
  <c r="P464" i="2"/>
  <c r="R464" i="2" s="1"/>
  <c r="P465" i="2"/>
  <c r="R465" i="2" s="1"/>
  <c r="P466" i="2"/>
  <c r="R466" i="2" s="1"/>
  <c r="P467" i="2"/>
  <c r="R467" i="2" s="1"/>
  <c r="P468" i="2"/>
  <c r="R468" i="2" s="1"/>
  <c r="P469" i="2"/>
  <c r="R469" i="2" s="1"/>
  <c r="P470" i="2"/>
  <c r="R470" i="2" s="1"/>
  <c r="P471" i="2"/>
  <c r="R471" i="2" s="1"/>
  <c r="P472" i="2"/>
  <c r="R472" i="2" s="1"/>
  <c r="P473" i="2"/>
  <c r="R473" i="2" s="1"/>
  <c r="P474" i="2"/>
  <c r="P475" i="2"/>
  <c r="P476" i="2"/>
  <c r="R476" i="2" s="1"/>
  <c r="P477" i="2"/>
  <c r="R477" i="2" s="1"/>
  <c r="P478" i="2"/>
  <c r="R478" i="2" s="1"/>
  <c r="P479" i="2"/>
  <c r="R479" i="2" s="1"/>
  <c r="P480" i="2"/>
  <c r="R480" i="2" s="1"/>
  <c r="P481" i="2"/>
  <c r="R481" i="2" s="1"/>
  <c r="P482" i="2"/>
  <c r="R482" i="2" s="1"/>
  <c r="P483" i="2"/>
  <c r="R483" i="2" s="1"/>
  <c r="P484" i="2"/>
  <c r="R484" i="2" s="1"/>
  <c r="P485" i="2"/>
  <c r="R485" i="2" s="1"/>
  <c r="P486" i="2"/>
  <c r="R486" i="2" s="1"/>
  <c r="P487" i="2"/>
  <c r="R487" i="2" s="1"/>
  <c r="P488" i="2"/>
  <c r="R488" i="2" s="1"/>
  <c r="P489" i="2"/>
  <c r="R489" i="2" s="1"/>
  <c r="P490" i="2"/>
  <c r="R490" i="2" s="1"/>
  <c r="P491" i="2"/>
  <c r="R491" i="2" s="1"/>
  <c r="P492" i="2"/>
  <c r="R492" i="2" s="1"/>
  <c r="P493" i="2"/>
  <c r="R493" i="2" s="1"/>
  <c r="P494" i="2"/>
  <c r="R494" i="2" s="1"/>
  <c r="P495" i="2"/>
  <c r="R495" i="2" s="1"/>
  <c r="P496" i="2"/>
  <c r="R496" i="2" s="1"/>
  <c r="P497" i="2"/>
  <c r="R497" i="2" s="1"/>
  <c r="P498" i="2"/>
  <c r="R498" i="2" s="1"/>
  <c r="P499" i="2"/>
  <c r="R499" i="2" s="1"/>
  <c r="P500" i="2"/>
  <c r="R500" i="2" s="1"/>
  <c r="P501" i="2"/>
  <c r="R501" i="2" s="1"/>
  <c r="P502" i="2"/>
  <c r="R502" i="2" s="1"/>
  <c r="P503" i="2"/>
  <c r="R503" i="2" s="1"/>
  <c r="P504" i="2"/>
  <c r="R504" i="2" s="1"/>
  <c r="P505" i="2"/>
  <c r="R505" i="2" s="1"/>
  <c r="P506" i="2"/>
  <c r="R506" i="2" s="1"/>
  <c r="P507" i="2"/>
  <c r="R507" i="2" s="1"/>
  <c r="P508" i="2"/>
  <c r="R508" i="2" s="1"/>
  <c r="P509" i="2"/>
  <c r="R509" i="2" s="1"/>
  <c r="P510" i="2"/>
  <c r="R510" i="2" s="1"/>
  <c r="P511" i="2"/>
  <c r="R511" i="2" s="1"/>
  <c r="P512" i="2"/>
  <c r="R512" i="2" s="1"/>
  <c r="P513" i="2"/>
  <c r="R513" i="2" s="1"/>
  <c r="P514" i="2"/>
  <c r="N2" i="2"/>
  <c r="P2" i="2"/>
  <c r="R2" i="2"/>
  <c r="U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CE67111-4631-47FF-8CA6-14E61FC48520}" keepAlive="1" name="Consulta - database_24_25" description="Conexión a la consulta 'database_24_25' en el libro." type="5" refreshedVersion="0" background="1">
    <dbPr connection="Provider=Microsoft.Mashup.OleDb.1;Data Source=$Workbook$;Location=database_24_25;Extended Properties=&quot;&quot;" command="SELECT * FROM [database_24_25]"/>
  </connection>
</connections>
</file>

<file path=xl/sharedStrings.xml><?xml version="1.0" encoding="utf-8"?>
<sst xmlns="http://schemas.openxmlformats.org/spreadsheetml/2006/main" count="1674" uniqueCount="600">
  <si>
    <t>Rk</t>
  </si>
  <si>
    <t>Player</t>
  </si>
  <si>
    <t>Age</t>
  </si>
  <si>
    <t>Team</t>
  </si>
  <si>
    <t>Pos</t>
  </si>
  <si>
    <t>G</t>
  </si>
  <si>
    <t>GS</t>
  </si>
  <si>
    <t>MP</t>
  </si>
  <si>
    <t>FG</t>
  </si>
  <si>
    <t>FGA</t>
  </si>
  <si>
    <t>FG%</t>
  </si>
  <si>
    <t>3P</t>
  </si>
  <si>
    <t>3PA</t>
  </si>
  <si>
    <t>3P%</t>
  </si>
  <si>
    <t>2P</t>
  </si>
  <si>
    <t>2PA</t>
  </si>
  <si>
    <t>2P%</t>
  </si>
  <si>
    <t>FT</t>
  </si>
  <si>
    <t>FTA</t>
  </si>
  <si>
    <t>FT%</t>
  </si>
  <si>
    <t>ORB</t>
  </si>
  <si>
    <t>DRB</t>
  </si>
  <si>
    <t>TRB</t>
  </si>
  <si>
    <t>AST</t>
  </si>
  <si>
    <t>STL</t>
  </si>
  <si>
    <t>BLK</t>
  </si>
  <si>
    <t>TOV</t>
  </si>
  <si>
    <t>PF</t>
  </si>
  <si>
    <t>Giannis Antetokounmpo</t>
  </si>
  <si>
    <t>MIL</t>
  </si>
  <si>
    <t>Shai Gilgeous-Alexander</t>
  </si>
  <si>
    <t>OKC</t>
  </si>
  <si>
    <t>PG</t>
  </si>
  <si>
    <t>Nikola Jokić</t>
  </si>
  <si>
    <t>DEN</t>
  </si>
  <si>
    <t>C</t>
  </si>
  <si>
    <t>LaMelo Ball</t>
  </si>
  <si>
    <t>CHO</t>
  </si>
  <si>
    <t>Paolo Banchero</t>
  </si>
  <si>
    <t>ORL</t>
  </si>
  <si>
    <t>Jayson Tatum</t>
  </si>
  <si>
    <t>BOS</t>
  </si>
  <si>
    <t>Luka Dončić</t>
  </si>
  <si>
    <t>DAL</t>
  </si>
  <si>
    <t>Kevin Durant</t>
  </si>
  <si>
    <t>PHO</t>
  </si>
  <si>
    <t>De'Aaron Fox</t>
  </si>
  <si>
    <t>SAC</t>
  </si>
  <si>
    <t>Victor Wembanyama</t>
  </si>
  <si>
    <t>SAS</t>
  </si>
  <si>
    <t>Anthony Davis</t>
  </si>
  <si>
    <t>LAL</t>
  </si>
  <si>
    <t>Tyrese Maxey</t>
  </si>
  <si>
    <t>PHI</t>
  </si>
  <si>
    <t>Jalen Brunson</t>
  </si>
  <si>
    <t>NYK</t>
  </si>
  <si>
    <t>Damian Lillard</t>
  </si>
  <si>
    <t>Devin Booker</t>
  </si>
  <si>
    <t>SG</t>
  </si>
  <si>
    <t>Cam Thomas</t>
  </si>
  <si>
    <t>BRK</t>
  </si>
  <si>
    <t>Karl-Anthony Towns</t>
  </si>
  <si>
    <t>Anthony Edwards</t>
  </si>
  <si>
    <t>MIN</t>
  </si>
  <si>
    <t>Jaylen Brown</t>
  </si>
  <si>
    <t>SF</t>
  </si>
  <si>
    <t>Franz Wagner</t>
  </si>
  <si>
    <t>Kyrie Irving</t>
  </si>
  <si>
    <t>Joel Embiid</t>
  </si>
  <si>
    <t>Tyler Herro</t>
  </si>
  <si>
    <t>MIA</t>
  </si>
  <si>
    <t>LeBron James</t>
  </si>
  <si>
    <t>Cade Cunningham</t>
  </si>
  <si>
    <t>DET</t>
  </si>
  <si>
    <t>Norman Powell</t>
  </si>
  <si>
    <t>LAC</t>
  </si>
  <si>
    <t>RJ Barrett</t>
  </si>
  <si>
    <t>TOR</t>
  </si>
  <si>
    <t>Donovan Mitchell</t>
  </si>
  <si>
    <t>CLE</t>
  </si>
  <si>
    <t>CJ McCollum</t>
  </si>
  <si>
    <t>NOP</t>
  </si>
  <si>
    <t>Zion Williamson</t>
  </si>
  <si>
    <t>Trae Young</t>
  </si>
  <si>
    <t>ATL</t>
  </si>
  <si>
    <t>Stephen Curry</t>
  </si>
  <si>
    <t>GSW</t>
  </si>
  <si>
    <t>Jaren Jackson Jr.</t>
  </si>
  <si>
    <t>MEM</t>
  </si>
  <si>
    <t>Zach LaVine</t>
  </si>
  <si>
    <t>CHI</t>
  </si>
  <si>
    <t>Brandon Ingram</t>
  </si>
  <si>
    <t>James Harden</t>
  </si>
  <si>
    <t>Jordan Poole</t>
  </si>
  <si>
    <t>WAS</t>
  </si>
  <si>
    <t>Brandon Miller</t>
  </si>
  <si>
    <t>Ja Morant</t>
  </si>
  <si>
    <t>Jalen Williams</t>
  </si>
  <si>
    <t>DeMar DeRozan</t>
  </si>
  <si>
    <t>Trey Murphy III</t>
  </si>
  <si>
    <t>Domantas Sabonis</t>
  </si>
  <si>
    <t>Scottie Barnes</t>
  </si>
  <si>
    <t>Darius Garland</t>
  </si>
  <si>
    <t>Nikola Vučević</t>
  </si>
  <si>
    <t>Julius Randle</t>
  </si>
  <si>
    <t>De'Andre Hunter</t>
  </si>
  <si>
    <t>Jalen Johnson</t>
  </si>
  <si>
    <t>Pascal Siakam</t>
  </si>
  <si>
    <t>IND</t>
  </si>
  <si>
    <t>Jalen Green</t>
  </si>
  <si>
    <t>HOU</t>
  </si>
  <si>
    <t>Jamal Murray</t>
  </si>
  <si>
    <t>Cameron Johnson</t>
  </si>
  <si>
    <t>Lauri Markkanen</t>
  </si>
  <si>
    <t>UTA</t>
  </si>
  <si>
    <t>Evan Mobley</t>
  </si>
  <si>
    <t>Michael Porter Jr.</t>
  </si>
  <si>
    <t>Alperen Sengun</t>
  </si>
  <si>
    <t>Mikal Bridges</t>
  </si>
  <si>
    <t>Austin Reaves</t>
  </si>
  <si>
    <t>Bradley Beal</t>
  </si>
  <si>
    <t>Miles Bridges</t>
  </si>
  <si>
    <t>Tyrese Haliburton</t>
  </si>
  <si>
    <t>Shaedon Sharpe</t>
  </si>
  <si>
    <t>POR</t>
  </si>
  <si>
    <t>Coby White</t>
  </si>
  <si>
    <t>John Collins</t>
  </si>
  <si>
    <t>Kristaps Porziņģis</t>
  </si>
  <si>
    <t>Collin Sexton</t>
  </si>
  <si>
    <t>Anfernee Simons</t>
  </si>
  <si>
    <t>Jimmy Butler</t>
  </si>
  <si>
    <t>Jaden Ivey</t>
  </si>
  <si>
    <t>Gradey Dick</t>
  </si>
  <si>
    <t>Derrick White</t>
  </si>
  <si>
    <t>Jonathan Kuminga</t>
  </si>
  <si>
    <t>Jordan Clarkson</t>
  </si>
  <si>
    <t>Bennedict Mathurin</t>
  </si>
  <si>
    <t>OG Anunoby</t>
  </si>
  <si>
    <t>Bam Adebayo</t>
  </si>
  <si>
    <t>Desmond Bane</t>
  </si>
  <si>
    <t>Malik Monk</t>
  </si>
  <si>
    <t>Chet Holmgren</t>
  </si>
  <si>
    <t>Jalen Suggs</t>
  </si>
  <si>
    <t>Andrew Wiggins</t>
  </si>
  <si>
    <t>Paul George</t>
  </si>
  <si>
    <t>Dennis Schröder</t>
  </si>
  <si>
    <t>2TM</t>
  </si>
  <si>
    <t>Malik Beasley</t>
  </si>
  <si>
    <t>Keyonte George</t>
  </si>
  <si>
    <t>Payton Pritchard</t>
  </si>
  <si>
    <t>Immanuel Quickley</t>
  </si>
  <si>
    <t>Dejounte Murray</t>
  </si>
  <si>
    <t>Devin Vassell</t>
  </si>
  <si>
    <t>Jakob Poeltl</t>
  </si>
  <si>
    <t>Jared McCain</t>
  </si>
  <si>
    <t>Myles Turner</t>
  </si>
  <si>
    <t>Jerami Grant</t>
  </si>
  <si>
    <t>Ivica Zubac</t>
  </si>
  <si>
    <t>Fred VanVleet</t>
  </si>
  <si>
    <t>Josh Hart</t>
  </si>
  <si>
    <t>Kyle Kuzma</t>
  </si>
  <si>
    <t>Malcolm Brogdon</t>
  </si>
  <si>
    <t>Deandre Ayton</t>
  </si>
  <si>
    <t>Klay Thompson</t>
  </si>
  <si>
    <t>Christian Braun</t>
  </si>
  <si>
    <t>Tre Mann</t>
  </si>
  <si>
    <t>Bobby Portis</t>
  </si>
  <si>
    <t>Dillon Brooks</t>
  </si>
  <si>
    <t>Jeremy Sochan</t>
  </si>
  <si>
    <t>Aaron Gordon</t>
  </si>
  <si>
    <t>Jarrett Allen</t>
  </si>
  <si>
    <t>Deni Avdija</t>
  </si>
  <si>
    <t>Khris Middleton</t>
  </si>
  <si>
    <t>Tobias Harris</t>
  </si>
  <si>
    <t>Santi Aldama</t>
  </si>
  <si>
    <t>Dyson Daniels</t>
  </si>
  <si>
    <t>Moritz Wagner</t>
  </si>
  <si>
    <t>Bilal Coulibaly</t>
  </si>
  <si>
    <t>Kelly Oubre Jr.</t>
  </si>
  <si>
    <t>D'Angelo Russell</t>
  </si>
  <si>
    <t>Ayo Dosunmu</t>
  </si>
  <si>
    <t>Tyus Jones</t>
  </si>
  <si>
    <t>Naz Reid</t>
  </si>
  <si>
    <t>P.J. Washington</t>
  </si>
  <si>
    <t>Mark Williams</t>
  </si>
  <si>
    <t>Buddy Hield</t>
  </si>
  <si>
    <t>Jrue Holiday</t>
  </si>
  <si>
    <t>Keldon Johnson</t>
  </si>
  <si>
    <t>Isaiah Hartenstein</t>
  </si>
  <si>
    <t>Brook Lopez</t>
  </si>
  <si>
    <t>Terry Rozier</t>
  </si>
  <si>
    <t>Julian Champagnie</t>
  </si>
  <si>
    <t>Josh Giddey</t>
  </si>
  <si>
    <t>Rui Hachimura</t>
  </si>
  <si>
    <t>Russell Westbrook</t>
  </si>
  <si>
    <t>Daniel Gafford</t>
  </si>
  <si>
    <t>Alex Sarr</t>
  </si>
  <si>
    <t>Jabari Smith Jr.</t>
  </si>
  <si>
    <t>Amen Thompson</t>
  </si>
  <si>
    <t>Caris LeVert</t>
  </si>
  <si>
    <t>Jonas Valančiūnas</t>
  </si>
  <si>
    <t>Jaylen Wells</t>
  </si>
  <si>
    <t>Brandon Boston Jr.</t>
  </si>
  <si>
    <t>Keegan Murray</t>
  </si>
  <si>
    <t>Onyeka Okongwu</t>
  </si>
  <si>
    <t>Tari Eason</t>
  </si>
  <si>
    <t>Scoot Henderson</t>
  </si>
  <si>
    <t>Corey Kispert</t>
  </si>
  <si>
    <t>Ochai Agbaji</t>
  </si>
  <si>
    <t>Jordan Hawkins</t>
  </si>
  <si>
    <t>Duncan Robinson</t>
  </si>
  <si>
    <t>Zach Edey</t>
  </si>
  <si>
    <t>Bogdan Bogdanović</t>
  </si>
  <si>
    <t>Stephon Castle</t>
  </si>
  <si>
    <t>Justin Champagnie</t>
  </si>
  <si>
    <t>Naji Marshall</t>
  </si>
  <si>
    <t>Herbert Jones</t>
  </si>
  <si>
    <t>T.J. McConnell</t>
  </si>
  <si>
    <t>Andrew Nembhard</t>
  </si>
  <si>
    <t>Scotty Pippen Jr.</t>
  </si>
  <si>
    <t>Zaccharie Risacher</t>
  </si>
  <si>
    <t>Harrison Barnes</t>
  </si>
  <si>
    <t>Amir Coffey</t>
  </si>
  <si>
    <t>Royce O'Neale</t>
  </si>
  <si>
    <t>Grayson Allen</t>
  </si>
  <si>
    <t>Grant Williams</t>
  </si>
  <si>
    <t>Jose Alvarado</t>
  </si>
  <si>
    <t>Rudy Gobert</t>
  </si>
  <si>
    <t>De'Anthony Melton</t>
  </si>
  <si>
    <t>Obi Toppin</t>
  </si>
  <si>
    <t>Walker Kessler</t>
  </si>
  <si>
    <t>Patrick Williams</t>
  </si>
  <si>
    <t>Quentin Grimes</t>
  </si>
  <si>
    <t>Tim Hardaway Jr.</t>
  </si>
  <si>
    <t>Ty Jerome</t>
  </si>
  <si>
    <t>Donte DiVincenzo</t>
  </si>
  <si>
    <t>Dalton Knecht</t>
  </si>
  <si>
    <t>Goga Bitadze</t>
  </si>
  <si>
    <t>Chris Boucher</t>
  </si>
  <si>
    <t>Nic Claxton</t>
  </si>
  <si>
    <t>Jaden McDaniels</t>
  </si>
  <si>
    <t>Luguentz Dort</t>
  </si>
  <si>
    <t>Derrick Jones Jr.</t>
  </si>
  <si>
    <t>Miles McBride</t>
  </si>
  <si>
    <t>Guerschon Yabusele</t>
  </si>
  <si>
    <t>Dorian Finney-Smith</t>
  </si>
  <si>
    <t>Jalen Duren</t>
  </si>
  <si>
    <t>Kevin Porter Jr.</t>
  </si>
  <si>
    <t>Gary Trent Jr.</t>
  </si>
  <si>
    <t>Larry Nance Jr.</t>
  </si>
  <si>
    <t>Clint Capela</t>
  </si>
  <si>
    <t>Yves Missi</t>
  </si>
  <si>
    <t>Chris Paul</t>
  </si>
  <si>
    <t>Nick Richards</t>
  </si>
  <si>
    <t>Jalen Wilson</t>
  </si>
  <si>
    <t>Nickeil Alexander-Walker</t>
  </si>
  <si>
    <t>Dalano Banton</t>
  </si>
  <si>
    <t>Kentavious Caldwell-Pope</t>
  </si>
  <si>
    <t>Aaron Nesmith</t>
  </si>
  <si>
    <t>Marcus Smart</t>
  </si>
  <si>
    <t>Aaron Wiggins</t>
  </si>
  <si>
    <t>Toumani Camara</t>
  </si>
  <si>
    <t>Spencer Dinwiddie</t>
  </si>
  <si>
    <t>Julian Strawther</t>
  </si>
  <si>
    <t>Cam Whitmore</t>
  </si>
  <si>
    <t>Carlton Carrington</t>
  </si>
  <si>
    <t>Tristan Da Silva</t>
  </si>
  <si>
    <t>Trentyn Flowers</t>
  </si>
  <si>
    <t>Kevin Huerter</t>
  </si>
  <si>
    <t>Jay Huff</t>
  </si>
  <si>
    <t>Caleb Martin</t>
  </si>
  <si>
    <t>Al Horford</t>
  </si>
  <si>
    <t>Jusuf Nurkić</t>
  </si>
  <si>
    <t>Noah Clowney</t>
  </si>
  <si>
    <t>Draymond Green</t>
  </si>
  <si>
    <t>Peyton Watson</t>
  </si>
  <si>
    <t>Nikola Jović</t>
  </si>
  <si>
    <t>Dereck Lively II</t>
  </si>
  <si>
    <t>Garrison Mathews</t>
  </si>
  <si>
    <t>Georges Niang</t>
  </si>
  <si>
    <t>Ziaire Williams</t>
  </si>
  <si>
    <t>Anthony Black</t>
  </si>
  <si>
    <t>Trayce Jackson-Davis</t>
  </si>
  <si>
    <t>Jaime Jaquez Jr.</t>
  </si>
  <si>
    <t>Luke Kennard</t>
  </si>
  <si>
    <t>Jaylen Nowell</t>
  </si>
  <si>
    <t>Cody Martin</t>
  </si>
  <si>
    <t>Ja'Kobe Walter</t>
  </si>
  <si>
    <t>Trendon Watford</t>
  </si>
  <si>
    <t>Mike Conley</t>
  </si>
  <si>
    <t>Isaiah Joe</t>
  </si>
  <si>
    <t>Jake LaRavia</t>
  </si>
  <si>
    <t>Moses Moody</t>
  </si>
  <si>
    <t>Brandin Podziemski</t>
  </si>
  <si>
    <t>Sam Hauser</t>
  </si>
  <si>
    <t>Max Christie</t>
  </si>
  <si>
    <t>Brice Sensabaugh</t>
  </si>
  <si>
    <t>Jalen Smith</t>
  </si>
  <si>
    <t>A.J. Green</t>
  </si>
  <si>
    <t>Svi Mykhailiuk</t>
  </si>
  <si>
    <t>Wendell Carter Jr.</t>
  </si>
  <si>
    <t>Bones Hyland</t>
  </si>
  <si>
    <t>Keon Johnson</t>
  </si>
  <si>
    <t>Vasilije Micić</t>
  </si>
  <si>
    <t>Josh Green</t>
  </si>
  <si>
    <t>DaQuan Jeffries</t>
  </si>
  <si>
    <t>Taurean Prince</t>
  </si>
  <si>
    <t>Brandon Clarke</t>
  </si>
  <si>
    <t>Kyshawn George</t>
  </si>
  <si>
    <t>Kelly Olynyk</t>
  </si>
  <si>
    <t>Ausar Thompson</t>
  </si>
  <si>
    <t>Jaden Hardy</t>
  </si>
  <si>
    <t>Johnny Juzang</t>
  </si>
  <si>
    <t>Trey Lyles</t>
  </si>
  <si>
    <t>Shake Milton</t>
  </si>
  <si>
    <t>Andre Drummond</t>
  </si>
  <si>
    <t>Kris Dunn</t>
  </si>
  <si>
    <t>Isaiah Jackson</t>
  </si>
  <si>
    <t>Sam Merrill</t>
  </si>
  <si>
    <t>Torrey Craig</t>
  </si>
  <si>
    <t>Haywood Highsmith</t>
  </si>
  <si>
    <t>Josh Okogie</t>
  </si>
  <si>
    <t>Cameron Payne</t>
  </si>
  <si>
    <t>Day'Ron Sharpe</t>
  </si>
  <si>
    <t>Robert Williams</t>
  </si>
  <si>
    <t>Bruce Brown</t>
  </si>
  <si>
    <t>Keon Ellis</t>
  </si>
  <si>
    <t>Tyrese Martin</t>
  </si>
  <si>
    <t>Elfrid Payton</t>
  </si>
  <si>
    <t>Isaac Okoro</t>
  </si>
  <si>
    <t>Jeremiah Robinson-Earl</t>
  </si>
  <si>
    <t>Jarace Walker</t>
  </si>
  <si>
    <t>Cason Wallace</t>
  </si>
  <si>
    <t>Alec Burks</t>
  </si>
  <si>
    <t>Simone Fontecchio</t>
  </si>
  <si>
    <t>Talen Horton-Tucker</t>
  </si>
  <si>
    <t>KJ Martin</t>
  </si>
  <si>
    <t>Ajay Mitchell</t>
  </si>
  <si>
    <t>Davion Mitchell</t>
  </si>
  <si>
    <t>Cole Anthony</t>
  </si>
  <si>
    <t>Ryan Dunn</t>
  </si>
  <si>
    <t>Ron Holland</t>
  </si>
  <si>
    <t>Terance Mann</t>
  </si>
  <si>
    <t>Dru Smith</t>
  </si>
  <si>
    <t>Kenrich Williams</t>
  </si>
  <si>
    <t>Dean Wade</t>
  </si>
  <si>
    <t>Isaiah Wong</t>
  </si>
  <si>
    <t>Jamison Battle</t>
  </si>
  <si>
    <t>Quenton Jackson</t>
  </si>
  <si>
    <t>Max Strus</t>
  </si>
  <si>
    <t>James Wiseman</t>
  </si>
  <si>
    <t>Kyle Filipowski</t>
  </si>
  <si>
    <t>Javonte Green</t>
  </si>
  <si>
    <t>Jaxson Hayes</t>
  </si>
  <si>
    <t>Kevin Love</t>
  </si>
  <si>
    <t>Jordan Miller</t>
  </si>
  <si>
    <t>Ben Simmons</t>
  </si>
  <si>
    <t>Isaiah Stewart</t>
  </si>
  <si>
    <t>Malaki Branham</t>
  </si>
  <si>
    <t>Ricky Council IV</t>
  </si>
  <si>
    <t>Jonathan Isaac</t>
  </si>
  <si>
    <t>Marcus Sasser</t>
  </si>
  <si>
    <t>Zach Collins</t>
  </si>
  <si>
    <t>Alex Caruso</t>
  </si>
  <si>
    <t>Donovan Clingan</t>
  </si>
  <si>
    <t>Monte Morris</t>
  </si>
  <si>
    <t>Neemias Queta</t>
  </si>
  <si>
    <t>Lindy Waters III</t>
  </si>
  <si>
    <t>Precious Achiuwa</t>
  </si>
  <si>
    <t>Trevelin Queen</t>
  </si>
  <si>
    <t>Ben Sheppard</t>
  </si>
  <si>
    <t>Lonzo Ball</t>
  </si>
  <si>
    <t>Kobe Bufkin</t>
  </si>
  <si>
    <t>Eric Gordon</t>
  </si>
  <si>
    <t>Vince Williams Jr.</t>
  </si>
  <si>
    <t>Seth Curry</t>
  </si>
  <si>
    <t>Paul Reed</t>
  </si>
  <si>
    <t>Kel'el Ware</t>
  </si>
  <si>
    <t>Kyle Anderson</t>
  </si>
  <si>
    <t>Jared Butler</t>
  </si>
  <si>
    <t>Matas Buzelis</t>
  </si>
  <si>
    <t>Pelle Larsson</t>
  </si>
  <si>
    <t>Jonathan Mogbo</t>
  </si>
  <si>
    <t>Cam Christie</t>
  </si>
  <si>
    <t>Tidjane Salaün</t>
  </si>
  <si>
    <t>Jamal Shead</t>
  </si>
  <si>
    <t>Alondes Williams</t>
  </si>
  <si>
    <t>Marvin Bagley III</t>
  </si>
  <si>
    <t>Kevon Looney</t>
  </si>
  <si>
    <t>Charles Bassey</t>
  </si>
  <si>
    <t>Drew Eubanks</t>
  </si>
  <si>
    <t>Taylor Hendricks</t>
  </si>
  <si>
    <t>Luke Kornet</t>
  </si>
  <si>
    <t>David Roddy</t>
  </si>
  <si>
    <t>JT Thor</t>
  </si>
  <si>
    <t>Keaton Wallace</t>
  </si>
  <si>
    <t>Pat Connaughton</t>
  </si>
  <si>
    <t>Gary Payton II</t>
  </si>
  <si>
    <t>Julian Phillips</t>
  </si>
  <si>
    <t>Dariq Whitehead</t>
  </si>
  <si>
    <t>KJ Simpson</t>
  </si>
  <si>
    <t>Thomas Bryant</t>
  </si>
  <si>
    <t>Sandro Mamukelashvili</t>
  </si>
  <si>
    <t>Antonio Reeves</t>
  </si>
  <si>
    <t>Ryan Rollins</t>
  </si>
  <si>
    <t>Jaylin Williams</t>
  </si>
  <si>
    <t>Jamal Cain</t>
  </si>
  <si>
    <t>Mason Plumlee</t>
  </si>
  <si>
    <t>Gabe Vincent</t>
  </si>
  <si>
    <t>Dalen Terry</t>
  </si>
  <si>
    <t>Mo Bamba</t>
  </si>
  <si>
    <t>Gary Harris</t>
  </si>
  <si>
    <t>Kyle Lowry</t>
  </si>
  <si>
    <t>Wendell Moore Jr.</t>
  </si>
  <si>
    <t>Jett Howard</t>
  </si>
  <si>
    <t>Micah Potter</t>
  </si>
  <si>
    <t>Josh Richardson</t>
  </si>
  <si>
    <t>Luka Garza</t>
  </si>
  <si>
    <t>Kris Murray</t>
  </si>
  <si>
    <t>Blake Wesley</t>
  </si>
  <si>
    <t>Oso Ighodaro</t>
  </si>
  <si>
    <t>Reggie Jackson</t>
  </si>
  <si>
    <t>Cam Spencer</t>
  </si>
  <si>
    <t>Daniel Theis</t>
  </si>
  <si>
    <t>Rob Dillingham</t>
  </si>
  <si>
    <t>Aaron Holiday</t>
  </si>
  <si>
    <t>Doug McDermott</t>
  </si>
  <si>
    <t>Andre Jackson Jr.</t>
  </si>
  <si>
    <t>Isaac Jones</t>
  </si>
  <si>
    <t>Vit Krejci</t>
  </si>
  <si>
    <t>Patty Mills</t>
  </si>
  <si>
    <t>Brandon Williams</t>
  </si>
  <si>
    <t>Jevon Carter</t>
  </si>
  <si>
    <t>Cam Reddish</t>
  </si>
  <si>
    <t>Jabari Walker</t>
  </si>
  <si>
    <t>Cody Williams</t>
  </si>
  <si>
    <t>Nicolas Batum</t>
  </si>
  <si>
    <t>Moussa Diabaté</t>
  </si>
  <si>
    <t>Bruno Fernando</t>
  </si>
  <si>
    <t>Tre Jones</t>
  </si>
  <si>
    <t>Josh Minott</t>
  </si>
  <si>
    <t>Dario Šarić</t>
  </si>
  <si>
    <t>Bol Bol</t>
  </si>
  <si>
    <t>Jae Crowder</t>
  </si>
  <si>
    <t>Jalen Pickett</t>
  </si>
  <si>
    <t>Reed Sheppard</t>
  </si>
  <si>
    <t>Jae'Sean Tate</t>
  </si>
  <si>
    <t>Moses Brown</t>
  </si>
  <si>
    <t>Drew Peterson</t>
  </si>
  <si>
    <t>Rayan Rupert</t>
  </si>
  <si>
    <t>Landry Shamet</t>
  </si>
  <si>
    <t>Isaiah Collier</t>
  </si>
  <si>
    <t>Jeff Dowtin</t>
  </si>
  <si>
    <t>Jock Landale</t>
  </si>
  <si>
    <t>Nick Smith Jr.</t>
  </si>
  <si>
    <t>David Duke Jr.</t>
  </si>
  <si>
    <t>Collin Gillespie</t>
  </si>
  <si>
    <t>Jeff Green</t>
  </si>
  <si>
    <t>Richaun Holmes</t>
  </si>
  <si>
    <t>DeAndre Jordan</t>
  </si>
  <si>
    <t>A.J. Lawson</t>
  </si>
  <si>
    <t>Taze Moore</t>
  </si>
  <si>
    <t>Pete Nance</t>
  </si>
  <si>
    <t>Quincy Olivari</t>
  </si>
  <si>
    <t>Oscar Tshiebwe</t>
  </si>
  <si>
    <t>Johnny Davis</t>
  </si>
  <si>
    <t>Ousmane Dieng</t>
  </si>
  <si>
    <t>John Konchar</t>
  </si>
  <si>
    <t>Steven Adams</t>
  </si>
  <si>
    <t>Kobe Brown</t>
  </si>
  <si>
    <t>Johnny Furphy</t>
  </si>
  <si>
    <t>Delon Wright</t>
  </si>
  <si>
    <t>TyTy Washington Jr.</t>
  </si>
  <si>
    <t>Taj Gibson</t>
  </si>
  <si>
    <t>Duop Reath</t>
  </si>
  <si>
    <t>Hunter Tyson</t>
  </si>
  <si>
    <t>E.J. Liddell</t>
  </si>
  <si>
    <t>Craig Porter Jr.</t>
  </si>
  <si>
    <t>Chris Duarte</t>
  </si>
  <si>
    <t>Trey Jemison</t>
  </si>
  <si>
    <t>Maxi Kleber</t>
  </si>
  <si>
    <t>Tyler Kolek</t>
  </si>
  <si>
    <t>Damion Lee</t>
  </si>
  <si>
    <t>Olivier-Maxence Prosper</t>
  </si>
  <si>
    <t>Vlatko Čančar</t>
  </si>
  <si>
    <t>Anthony Gill</t>
  </si>
  <si>
    <t>Lester Quiñones</t>
  </si>
  <si>
    <t>Tristan Thompson</t>
  </si>
  <si>
    <t>Jeenathan Williams</t>
  </si>
  <si>
    <t>Kai Jones</t>
  </si>
  <si>
    <t>Christian Koloko</t>
  </si>
  <si>
    <t>Jordan McLaughlin</t>
  </si>
  <si>
    <t>Jaylon Tyson</t>
  </si>
  <si>
    <t>Patrick Baldwin Jr.</t>
  </si>
  <si>
    <t>Justin Edwards</t>
  </si>
  <si>
    <t>Jalen Hood-Schifino</t>
  </si>
  <si>
    <t>Caleb Houstan</t>
  </si>
  <si>
    <t>Dillon Jones</t>
  </si>
  <si>
    <t>Cory Joseph</t>
  </si>
  <si>
    <t>Leonard Miller</t>
  </si>
  <si>
    <t>Markieff Morris</t>
  </si>
  <si>
    <t>Alex Reese</t>
  </si>
  <si>
    <t>Orlando Robinson</t>
  </si>
  <si>
    <t>Adama Sanogo</t>
  </si>
  <si>
    <t>Tyler Smith</t>
  </si>
  <si>
    <t>Ariel Hukporti</t>
  </si>
  <si>
    <t>Keshad Johnson</t>
  </si>
  <si>
    <t>MarJon Beauchamp</t>
  </si>
  <si>
    <t>Jericho Sims</t>
  </si>
  <si>
    <t>Jordan Walsh</t>
  </si>
  <si>
    <t>Pacome Dadiet</t>
  </si>
  <si>
    <t>Jazian Gortman</t>
  </si>
  <si>
    <t>James Johnson</t>
  </si>
  <si>
    <t>Yuki Kawamura</t>
  </si>
  <si>
    <t>Alex Len</t>
  </si>
  <si>
    <t>Dwight Powell</t>
  </si>
  <si>
    <t>Adem Bona</t>
  </si>
  <si>
    <t>Enrique Freeman</t>
  </si>
  <si>
    <t>Matt Ryan</t>
  </si>
  <si>
    <t>Terrence Shannon Jr.</t>
  </si>
  <si>
    <t>Armel Traoré</t>
  </si>
  <si>
    <t>Colin Castleton</t>
  </si>
  <si>
    <t>Adam Flagler</t>
  </si>
  <si>
    <t>AJ Johnson</t>
  </si>
  <si>
    <t>Jaden Springer</t>
  </si>
  <si>
    <t>Jack McVeigh</t>
  </si>
  <si>
    <t>Pat Spencer</t>
  </si>
  <si>
    <t>Luke Travers</t>
  </si>
  <si>
    <t>Sidy Cissoko</t>
  </si>
  <si>
    <t>JD Davison</t>
  </si>
  <si>
    <t>Zeke Nnaji</t>
  </si>
  <si>
    <t>Colby Jones</t>
  </si>
  <si>
    <t>Xavier Tillman Sr.</t>
  </si>
  <si>
    <t>Dominick Barlow</t>
  </si>
  <si>
    <t>Mouhamed Gueye</t>
  </si>
  <si>
    <t>Jaylen Martin</t>
  </si>
  <si>
    <t>Bryce McGowens</t>
  </si>
  <si>
    <t>Quinten Post</t>
  </si>
  <si>
    <t>Jared Rhoden</t>
  </si>
  <si>
    <t>Maxwell Lewis</t>
  </si>
  <si>
    <t>Trey Alexander</t>
  </si>
  <si>
    <t>D.J. Carton</t>
  </si>
  <si>
    <t>Ulrich Chomche</t>
  </si>
  <si>
    <t>PJ Dozier</t>
  </si>
  <si>
    <t>Karlo Matković</t>
  </si>
  <si>
    <t>Gui Santos</t>
  </si>
  <si>
    <t>Baylor Scheierman</t>
  </si>
  <si>
    <t>PJ Hall</t>
  </si>
  <si>
    <t>Chris Livingston</t>
  </si>
  <si>
    <t>Liam Robbins</t>
  </si>
  <si>
    <t>Tristan Vukcevic</t>
  </si>
  <si>
    <t>Branden Carlson</t>
  </si>
  <si>
    <t>Cui Yongxi</t>
  </si>
  <si>
    <t>Tristen Newton</t>
  </si>
  <si>
    <t>Bronny James</t>
  </si>
  <si>
    <t>Garrett Temple</t>
  </si>
  <si>
    <t>Reece Beekman</t>
  </si>
  <si>
    <t>Spencer Jones</t>
  </si>
  <si>
    <t>Stanley Umude</t>
  </si>
  <si>
    <t>Jalen Bridges</t>
  </si>
  <si>
    <t>Malevy Leons</t>
  </si>
  <si>
    <t>Daishen Nix</t>
  </si>
  <si>
    <t>Jacob Toppin</t>
  </si>
  <si>
    <t>Devin Carter</t>
  </si>
  <si>
    <t>Josh Christopher</t>
  </si>
  <si>
    <t>Isaiah Crawford</t>
  </si>
  <si>
    <t>Alex Ducas</t>
  </si>
  <si>
    <t>Kessler Edwards</t>
  </si>
  <si>
    <t>Joe Ingles</t>
  </si>
  <si>
    <t>Harrison Ingram</t>
  </si>
  <si>
    <t>Daniss Jenkins</t>
  </si>
  <si>
    <t>Mason Jones</t>
  </si>
  <si>
    <t>Mac McClung</t>
  </si>
  <si>
    <t>Justin Minaya</t>
  </si>
  <si>
    <t>Riley Minix</t>
  </si>
  <si>
    <t>Cole Swider</t>
  </si>
  <si>
    <t>2PA2</t>
  </si>
  <si>
    <t>PTSPP</t>
  </si>
  <si>
    <t>(Todas)</t>
  </si>
  <si>
    <t>Etiquetas de fila</t>
  </si>
  <si>
    <t>Total general</t>
  </si>
  <si>
    <t>Suma de PTSPP</t>
  </si>
  <si>
    <t>Suma de AST</t>
  </si>
  <si>
    <t>Suma de TRB</t>
  </si>
  <si>
    <t>Suma de ORB</t>
  </si>
  <si>
    <t>Suma de DRB</t>
  </si>
  <si>
    <t>Suma de STL</t>
  </si>
  <si>
    <t>Suma de BLK</t>
  </si>
  <si>
    <t>Suma de TOV</t>
  </si>
  <si>
    <t>Suma de PF</t>
  </si>
  <si>
    <t>Suma de 3P</t>
  </si>
  <si>
    <t>Suma de 3PA</t>
  </si>
  <si>
    <t>Suma de MP</t>
  </si>
  <si>
    <t>Suma de FG</t>
  </si>
  <si>
    <t>Suma de FGA</t>
  </si>
  <si>
    <t>Suma de FT</t>
  </si>
  <si>
    <t>Suma de FTA</t>
  </si>
  <si>
    <t>Promedio de FG%</t>
  </si>
  <si>
    <t>Promedio de 3P%</t>
  </si>
  <si>
    <t>Suma de Eficiencia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</si>
</sst>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7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9">
    <xf numFmtId="0" fontId="0" fillId="0" borderId="0" xfId="0"/>
    <xf numFmtId="164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2" fontId="0" fillId="0" borderId="0" xfId="0" applyNumberFormat="1" applyAlignment="1">
      <alignment vertical="center"/>
    </xf>
    <xf numFmtId="165" fontId="0" fillId="0" borderId="0" xfId="0" applyNumberFormat="1" applyAlignment="1">
      <alignment vertical="center"/>
    </xf>
    <xf numFmtId="0" fontId="0" fillId="3" borderId="1" xfId="0" applyFill="1" applyBorder="1"/>
    <xf numFmtId="164" fontId="0" fillId="3" borderId="1" xfId="0" applyNumberFormat="1" applyFill="1" applyBorder="1"/>
    <xf numFmtId="0" fontId="0" fillId="0" borderId="1" xfId="0" applyBorder="1"/>
    <xf numFmtId="0" fontId="1" fillId="2" borderId="0" xfId="0" applyFont="1" applyFill="1"/>
    <xf numFmtId="164" fontId="1" fillId="2" borderId="0" xfId="0" applyNumberFormat="1" applyFont="1" applyFill="1"/>
    <xf numFmtId="0" fontId="0" fillId="0" borderId="0" xfId="0" pivotButton="1"/>
    <xf numFmtId="0" fontId="0" fillId="0" borderId="0" xfId="0" applyNumberFormat="1"/>
    <xf numFmtId="0" fontId="0" fillId="0" borderId="3" xfId="0" pivotButton="1" applyBorder="1"/>
    <xf numFmtId="0" fontId="0" fillId="0" borderId="4" xfId="0" applyBorder="1"/>
    <xf numFmtId="0" fontId="0" fillId="0" borderId="5" xfId="0" applyBorder="1"/>
    <xf numFmtId="0" fontId="0" fillId="0" borderId="0" xfId="0" applyNumberFormat="1" applyBorder="1"/>
    <xf numFmtId="164" fontId="0" fillId="0" borderId="0" xfId="0" applyNumberFormat="1" applyBorder="1"/>
    <xf numFmtId="164" fontId="0" fillId="0" borderId="15" xfId="0" applyNumberFormat="1" applyBorder="1"/>
    <xf numFmtId="0" fontId="0" fillId="0" borderId="7" xfId="0" applyNumberFormat="1" applyBorder="1"/>
    <xf numFmtId="164" fontId="0" fillId="0" borderId="7" xfId="0" applyNumberFormat="1" applyBorder="1"/>
    <xf numFmtId="164" fontId="0" fillId="0" borderId="8" xfId="0" applyNumberFormat="1" applyBorder="1"/>
    <xf numFmtId="0" fontId="0" fillId="0" borderId="3" xfId="0" applyNumberFormat="1" applyBorder="1"/>
    <xf numFmtId="0" fontId="0" fillId="0" borderId="4" xfId="0" applyNumberFormat="1" applyBorder="1"/>
    <xf numFmtId="164" fontId="0" fillId="0" borderId="4" xfId="0" applyNumberFormat="1" applyBorder="1"/>
    <xf numFmtId="0" fontId="0" fillId="0" borderId="14" xfId="0" applyNumberFormat="1" applyBorder="1"/>
    <xf numFmtId="0" fontId="0" fillId="0" borderId="6" xfId="0" applyNumberFormat="1" applyBorder="1"/>
    <xf numFmtId="0" fontId="0" fillId="0" borderId="2" xfId="0" pivotButton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5" xfId="0" applyNumberFormat="1" applyBorder="1"/>
    <xf numFmtId="0" fontId="0" fillId="0" borderId="8" xfId="0" applyNumberFormat="1" applyBorder="1"/>
    <xf numFmtId="0" fontId="0" fillId="0" borderId="5" xfId="0" applyNumberFormat="1" applyBorder="1"/>
    <xf numFmtId="0" fontId="0" fillId="0" borderId="11" xfId="0" pivotButton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14" xfId="0" applyBorder="1" applyAlignment="1">
      <alignment horizontal="left"/>
    </xf>
    <xf numFmtId="0" fontId="0" fillId="0" borderId="6" xfId="0" applyBorder="1" applyAlignment="1">
      <alignment horizontal="left"/>
    </xf>
    <xf numFmtId="10" fontId="0" fillId="0" borderId="0" xfId="0" applyNumberFormat="1"/>
    <xf numFmtId="165" fontId="0" fillId="0" borderId="3" xfId="0" applyNumberFormat="1" applyBorder="1"/>
    <xf numFmtId="165" fontId="0" fillId="0" borderId="4" xfId="0" applyNumberFormat="1" applyBorder="1"/>
    <xf numFmtId="0" fontId="0" fillId="0" borderId="9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0" xfId="0" applyBorder="1" applyAlignment="1">
      <alignment horizontal="left"/>
    </xf>
    <xf numFmtId="10" fontId="0" fillId="0" borderId="13" xfId="0" applyNumberFormat="1" applyBorder="1"/>
    <xf numFmtId="10" fontId="0" fillId="0" borderId="4" xfId="0" applyNumberFormat="1" applyBorder="1"/>
    <xf numFmtId="10" fontId="0" fillId="0" borderId="0" xfId="0" applyNumberFormat="1" applyBorder="1"/>
    <xf numFmtId="10" fontId="0" fillId="0" borderId="7" xfId="0" applyNumberFormat="1" applyBorder="1"/>
    <xf numFmtId="165" fontId="0" fillId="0" borderId="5" xfId="0" applyNumberFormat="1" applyBorder="1"/>
  </cellXfs>
  <cellStyles count="1">
    <cellStyle name="Normal" xfId="0" builtinId="0"/>
  </cellStyles>
  <dxfs count="205">
    <dxf>
      <numFmt numFmtId="165" formatCode="0.0"/>
    </dxf>
    <dxf>
      <numFmt numFmtId="164" formatCode="0.0%"/>
    </dxf>
    <dxf>
      <numFmt numFmtId="14" formatCode="0.00%"/>
    </dxf>
    <dxf>
      <numFmt numFmtId="14" formatCode="0.0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</dxf>
    <dxf>
      <numFmt numFmtId="164" formatCode="0.0%"/>
    </dxf>
    <dxf>
      <numFmt numFmtId="14" formatCode="0.00%"/>
    </dxf>
    <dxf>
      <numFmt numFmtId="14" formatCode="0.0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</dxf>
    <dxf>
      <numFmt numFmtId="164" formatCode="0.0%"/>
    </dxf>
    <dxf>
      <numFmt numFmtId="14" formatCode="0.00%"/>
    </dxf>
    <dxf>
      <numFmt numFmtId="14" formatCode="0.0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</dxf>
    <dxf>
      <numFmt numFmtId="164" formatCode="0.0%"/>
    </dxf>
    <dxf>
      <numFmt numFmtId="14" formatCode="0.00%"/>
    </dxf>
    <dxf>
      <numFmt numFmtId="14" formatCode="0.0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</dxf>
    <dxf>
      <numFmt numFmtId="164" formatCode="0.0%"/>
    </dxf>
    <dxf>
      <numFmt numFmtId="14" formatCode="0.00%"/>
    </dxf>
    <dxf>
      <numFmt numFmtId="14" formatCode="0.0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</dxf>
    <dxf>
      <numFmt numFmtId="164" formatCode="0.0%"/>
    </dxf>
    <dxf>
      <numFmt numFmtId="14" formatCode="0.00%"/>
    </dxf>
    <dxf>
      <numFmt numFmtId="14" formatCode="0.0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</dxf>
    <dxf>
      <numFmt numFmtId="164" formatCode="0.0%"/>
    </dxf>
    <dxf>
      <numFmt numFmtId="14" formatCode="0.00%"/>
    </dxf>
    <dxf>
      <numFmt numFmtId="14" formatCode="0.0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</dxf>
    <dxf>
      <numFmt numFmtId="164" formatCode="0.0%"/>
    </dxf>
    <dxf>
      <numFmt numFmtId="14" formatCode="0.00%"/>
    </dxf>
    <dxf>
      <numFmt numFmtId="14" formatCode="0.0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</dxf>
    <dxf>
      <numFmt numFmtId="164" formatCode="0.0%"/>
    </dxf>
    <dxf>
      <numFmt numFmtId="14" formatCode="0.00%"/>
    </dxf>
    <dxf>
      <numFmt numFmtId="14" formatCode="0.0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</dxf>
    <dxf>
      <numFmt numFmtId="164" formatCode="0.0%"/>
    </dxf>
    <dxf>
      <numFmt numFmtId="14" formatCode="0.00%"/>
    </dxf>
    <dxf>
      <numFmt numFmtId="14" formatCode="0.0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</dxf>
    <dxf>
      <numFmt numFmtId="164" formatCode="0.0%"/>
    </dxf>
    <dxf>
      <numFmt numFmtId="14" formatCode="0.00%"/>
    </dxf>
    <dxf>
      <numFmt numFmtId="14" formatCode="0.0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</dxf>
    <dxf>
      <numFmt numFmtId="164" formatCode="0.0%"/>
    </dxf>
    <dxf>
      <numFmt numFmtId="14" formatCode="0.00%"/>
    </dxf>
    <dxf>
      <numFmt numFmtId="14" formatCode="0.0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</dxf>
    <dxf>
      <numFmt numFmtId="164" formatCode="0.0%"/>
    </dxf>
    <dxf>
      <numFmt numFmtId="14" formatCode="0.00%"/>
    </dxf>
    <dxf>
      <numFmt numFmtId="14" formatCode="0.0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65" formatCode="0.0"/>
    </dxf>
    <dxf>
      <numFmt numFmtId="164" formatCode="0.0%"/>
    </dxf>
    <dxf>
      <numFmt numFmtId="14" formatCode="0.00%"/>
    </dxf>
    <dxf>
      <numFmt numFmtId="14" formatCode="0.0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</dxf>
    <dxf>
      <numFmt numFmtId="164" formatCode="0.0%"/>
    </dxf>
    <dxf>
      <numFmt numFmtId="14" formatCode="0.00%"/>
    </dxf>
    <dxf>
      <numFmt numFmtId="14" formatCode="0.0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</dxf>
    <dxf>
      <numFmt numFmtId="164" formatCode="0.0%"/>
    </dxf>
    <dxf>
      <numFmt numFmtId="14" formatCode="0.00%"/>
    </dxf>
    <dxf>
      <numFmt numFmtId="14" formatCode="0.0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</dxf>
    <dxf>
      <numFmt numFmtId="164" formatCode="0.0%"/>
    </dxf>
    <dxf>
      <numFmt numFmtId="14" formatCode="0.00%"/>
    </dxf>
    <dxf>
      <numFmt numFmtId="14" formatCode="0.0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</dxf>
    <dxf>
      <numFmt numFmtId="164" formatCode="0.0%"/>
    </dxf>
    <dxf>
      <numFmt numFmtId="14" formatCode="0.00%"/>
    </dxf>
    <dxf>
      <numFmt numFmtId="14" formatCode="0.0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%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3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[AnalisisNBA.xlsm]Comparacion de Jugadores!TablaDinámica7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'Comparacion de Jugadores'!$B$5</c:f>
              <c:strCache>
                <c:ptCount val="1"/>
                <c:pt idx="0">
                  <c:v>Suma de PTSPP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'Comparacion de Jugadores'!$A$6:$A$21</c:f>
              <c:multiLvlStrCache>
                <c:ptCount val="13"/>
                <c:lvl>
                  <c:pt idx="0">
                    <c:v>Clint Capela</c:v>
                  </c:pt>
                  <c:pt idx="1">
                    <c:v>Larry Nance Jr.</c:v>
                  </c:pt>
                  <c:pt idx="2">
                    <c:v>Mouhamed Gueye</c:v>
                  </c:pt>
                  <c:pt idx="3">
                    <c:v>Onyeka Okongwu</c:v>
                  </c:pt>
                  <c:pt idx="4">
                    <c:v>Al Horford</c:v>
                  </c:pt>
                  <c:pt idx="5">
                    <c:v>Drew Peterson</c:v>
                  </c:pt>
                  <c:pt idx="6">
                    <c:v>Jayson Tatum</c:v>
                  </c:pt>
                  <c:pt idx="7">
                    <c:v>Jordan Walsh</c:v>
                  </c:pt>
                  <c:pt idx="8">
                    <c:v>Kristaps Porziņģis</c:v>
                  </c:pt>
                  <c:pt idx="9">
                    <c:v>Luke Kornet</c:v>
                  </c:pt>
                  <c:pt idx="10">
                    <c:v>Neemias Queta</c:v>
                  </c:pt>
                  <c:pt idx="11">
                    <c:v>Sam Hauser</c:v>
                  </c:pt>
                  <c:pt idx="12">
                    <c:v>Xavier Tillman Sr.</c:v>
                  </c:pt>
                </c:lvl>
                <c:lvl>
                  <c:pt idx="0">
                    <c:v>ATL</c:v>
                  </c:pt>
                  <c:pt idx="4">
                    <c:v>BOS</c:v>
                  </c:pt>
                </c:lvl>
              </c:multiLvlStrCache>
            </c:multiLvlStrRef>
          </c:cat>
          <c:val>
            <c:numRef>
              <c:f>'Comparacion de Jugadores'!$B$6:$B$21</c:f>
              <c:numCache>
                <c:formatCode>General</c:formatCode>
                <c:ptCount val="13"/>
                <c:pt idx="0">
                  <c:v>9.4</c:v>
                </c:pt>
                <c:pt idx="1">
                  <c:v>9.5</c:v>
                </c:pt>
                <c:pt idx="2">
                  <c:v>1</c:v>
                </c:pt>
                <c:pt idx="3">
                  <c:v>11.5</c:v>
                </c:pt>
                <c:pt idx="4">
                  <c:v>8.8000000000000007</c:v>
                </c:pt>
                <c:pt idx="5">
                  <c:v>3.2</c:v>
                </c:pt>
                <c:pt idx="6">
                  <c:v>28.2</c:v>
                </c:pt>
                <c:pt idx="7">
                  <c:v>1.7</c:v>
                </c:pt>
                <c:pt idx="8">
                  <c:v>17.7</c:v>
                </c:pt>
                <c:pt idx="9">
                  <c:v>4.7</c:v>
                </c:pt>
                <c:pt idx="10">
                  <c:v>5.5</c:v>
                </c:pt>
                <c:pt idx="11">
                  <c:v>7.9</c:v>
                </c:pt>
                <c:pt idx="12">
                  <c:v>1.1000000000000001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D1-46E7-B6F8-E9A4F48D7119}"/>
            </c:ext>
          </c:extLst>
        </c:ser>
        <c:ser>
          <c:idx val="1"/>
          <c:order val="1"/>
          <c:tx>
            <c:strRef>
              <c:f>'Comparacion de Jugadores'!$C$5</c:f>
              <c:strCache>
                <c:ptCount val="1"/>
                <c:pt idx="0">
                  <c:v>Suma de TRB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'Comparacion de Jugadores'!$A$6:$A$21</c:f>
              <c:multiLvlStrCache>
                <c:ptCount val="13"/>
                <c:lvl>
                  <c:pt idx="0">
                    <c:v>Clint Capela</c:v>
                  </c:pt>
                  <c:pt idx="1">
                    <c:v>Larry Nance Jr.</c:v>
                  </c:pt>
                  <c:pt idx="2">
                    <c:v>Mouhamed Gueye</c:v>
                  </c:pt>
                  <c:pt idx="3">
                    <c:v>Onyeka Okongwu</c:v>
                  </c:pt>
                  <c:pt idx="4">
                    <c:v>Al Horford</c:v>
                  </c:pt>
                  <c:pt idx="5">
                    <c:v>Drew Peterson</c:v>
                  </c:pt>
                  <c:pt idx="6">
                    <c:v>Jayson Tatum</c:v>
                  </c:pt>
                  <c:pt idx="7">
                    <c:v>Jordan Walsh</c:v>
                  </c:pt>
                  <c:pt idx="8">
                    <c:v>Kristaps Porziņģis</c:v>
                  </c:pt>
                  <c:pt idx="9">
                    <c:v>Luke Kornet</c:v>
                  </c:pt>
                  <c:pt idx="10">
                    <c:v>Neemias Queta</c:v>
                  </c:pt>
                  <c:pt idx="11">
                    <c:v>Sam Hauser</c:v>
                  </c:pt>
                  <c:pt idx="12">
                    <c:v>Xavier Tillman Sr.</c:v>
                  </c:pt>
                </c:lvl>
                <c:lvl>
                  <c:pt idx="0">
                    <c:v>ATL</c:v>
                  </c:pt>
                  <c:pt idx="4">
                    <c:v>BOS</c:v>
                  </c:pt>
                </c:lvl>
              </c:multiLvlStrCache>
            </c:multiLvlStrRef>
          </c:cat>
          <c:val>
            <c:numRef>
              <c:f>'Comparacion de Jugadores'!$C$6:$C$21</c:f>
              <c:numCache>
                <c:formatCode>General</c:formatCode>
                <c:ptCount val="13"/>
                <c:pt idx="0">
                  <c:v>9</c:v>
                </c:pt>
                <c:pt idx="1">
                  <c:v>4.3</c:v>
                </c:pt>
                <c:pt idx="2">
                  <c:v>1</c:v>
                </c:pt>
                <c:pt idx="3">
                  <c:v>6.7</c:v>
                </c:pt>
                <c:pt idx="4">
                  <c:v>5.3</c:v>
                </c:pt>
                <c:pt idx="5">
                  <c:v>2.1</c:v>
                </c:pt>
                <c:pt idx="6">
                  <c:v>9.4</c:v>
                </c:pt>
                <c:pt idx="7">
                  <c:v>1.3</c:v>
                </c:pt>
                <c:pt idx="8">
                  <c:v>6.3</c:v>
                </c:pt>
                <c:pt idx="9">
                  <c:v>5.0999999999999996</c:v>
                </c:pt>
                <c:pt idx="10">
                  <c:v>4.4000000000000004</c:v>
                </c:pt>
                <c:pt idx="11">
                  <c:v>3.1</c:v>
                </c:pt>
                <c:pt idx="12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AD1-46E7-B6F8-E9A4F48D7119}"/>
            </c:ext>
          </c:extLst>
        </c:ser>
        <c:ser>
          <c:idx val="2"/>
          <c:order val="2"/>
          <c:tx>
            <c:strRef>
              <c:f>'Comparacion de Jugadores'!$D$5</c:f>
              <c:strCache>
                <c:ptCount val="1"/>
                <c:pt idx="0">
                  <c:v>Suma de AST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'Comparacion de Jugadores'!$A$6:$A$21</c:f>
              <c:multiLvlStrCache>
                <c:ptCount val="13"/>
                <c:lvl>
                  <c:pt idx="0">
                    <c:v>Clint Capela</c:v>
                  </c:pt>
                  <c:pt idx="1">
                    <c:v>Larry Nance Jr.</c:v>
                  </c:pt>
                  <c:pt idx="2">
                    <c:v>Mouhamed Gueye</c:v>
                  </c:pt>
                  <c:pt idx="3">
                    <c:v>Onyeka Okongwu</c:v>
                  </c:pt>
                  <c:pt idx="4">
                    <c:v>Al Horford</c:v>
                  </c:pt>
                  <c:pt idx="5">
                    <c:v>Drew Peterson</c:v>
                  </c:pt>
                  <c:pt idx="6">
                    <c:v>Jayson Tatum</c:v>
                  </c:pt>
                  <c:pt idx="7">
                    <c:v>Jordan Walsh</c:v>
                  </c:pt>
                  <c:pt idx="8">
                    <c:v>Kristaps Porziņģis</c:v>
                  </c:pt>
                  <c:pt idx="9">
                    <c:v>Luke Kornet</c:v>
                  </c:pt>
                  <c:pt idx="10">
                    <c:v>Neemias Queta</c:v>
                  </c:pt>
                  <c:pt idx="11">
                    <c:v>Sam Hauser</c:v>
                  </c:pt>
                  <c:pt idx="12">
                    <c:v>Xavier Tillman Sr.</c:v>
                  </c:pt>
                </c:lvl>
                <c:lvl>
                  <c:pt idx="0">
                    <c:v>ATL</c:v>
                  </c:pt>
                  <c:pt idx="4">
                    <c:v>BOS</c:v>
                  </c:pt>
                </c:lvl>
              </c:multiLvlStrCache>
            </c:multiLvlStrRef>
          </c:cat>
          <c:val>
            <c:numRef>
              <c:f>'Comparacion de Jugadores'!$D$6:$D$21</c:f>
              <c:numCache>
                <c:formatCode>General</c:formatCode>
                <c:ptCount val="13"/>
                <c:pt idx="0">
                  <c:v>1.3</c:v>
                </c:pt>
                <c:pt idx="1">
                  <c:v>1.6</c:v>
                </c:pt>
                <c:pt idx="2">
                  <c:v>0</c:v>
                </c:pt>
                <c:pt idx="3">
                  <c:v>1.4</c:v>
                </c:pt>
                <c:pt idx="4">
                  <c:v>2.2999999999999998</c:v>
                </c:pt>
                <c:pt idx="5">
                  <c:v>0.7</c:v>
                </c:pt>
                <c:pt idx="6">
                  <c:v>5.6</c:v>
                </c:pt>
                <c:pt idx="7">
                  <c:v>0.3</c:v>
                </c:pt>
                <c:pt idx="8">
                  <c:v>1.7</c:v>
                </c:pt>
                <c:pt idx="9">
                  <c:v>1.6</c:v>
                </c:pt>
                <c:pt idx="10">
                  <c:v>0.7</c:v>
                </c:pt>
                <c:pt idx="11">
                  <c:v>1.1000000000000001</c:v>
                </c:pt>
                <c:pt idx="12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AD1-46E7-B6F8-E9A4F48D711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77258767"/>
        <c:axId val="277259247"/>
      </c:barChart>
      <c:catAx>
        <c:axId val="2772587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77259247"/>
        <c:crosses val="autoZero"/>
        <c:auto val="1"/>
        <c:lblAlgn val="ctr"/>
        <c:lblOffset val="100"/>
        <c:noMultiLvlLbl val="0"/>
      </c:catAx>
      <c:valAx>
        <c:axId val="277259247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277258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0</xdr:row>
      <xdr:rowOff>47625</xdr:rowOff>
    </xdr:from>
    <xdr:to>
      <xdr:col>17</xdr:col>
      <xdr:colOff>38100</xdr:colOff>
      <xdr:row>20</xdr:row>
      <xdr:rowOff>95251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3E927DB-DA41-3910-8A68-5470793746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104775</xdr:colOff>
      <xdr:row>20</xdr:row>
      <xdr:rowOff>142876</xdr:rowOff>
    </xdr:from>
    <xdr:to>
      <xdr:col>6</xdr:col>
      <xdr:colOff>647701</xdr:colOff>
      <xdr:row>33</xdr:row>
      <xdr:rowOff>180976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Player">
              <a:extLst>
                <a:ext uri="{FF2B5EF4-FFF2-40B4-BE49-F238E27FC236}">
                  <a16:creationId xmlns:a16="http://schemas.microsoft.com/office/drawing/2014/main" id="{1D446900-F562-37F2-4352-1BF817DA617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layer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14800" y="3952876"/>
              <a:ext cx="2162176" cy="2514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781050</xdr:colOff>
      <xdr:row>20</xdr:row>
      <xdr:rowOff>152400</xdr:rowOff>
    </xdr:from>
    <xdr:to>
      <xdr:col>4</xdr:col>
      <xdr:colOff>9525</xdr:colOff>
      <xdr:row>34</xdr:row>
      <xdr:rowOff>9525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Team">
              <a:extLst>
                <a:ext uri="{FF2B5EF4-FFF2-40B4-BE49-F238E27FC236}">
                  <a16:creationId xmlns:a16="http://schemas.microsoft.com/office/drawing/2014/main" id="{35FD78B8-678E-8540-4942-F4A4858F62A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90750" y="39624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333375</xdr:colOff>
      <xdr:row>20</xdr:row>
      <xdr:rowOff>142875</xdr:rowOff>
    </xdr:from>
    <xdr:to>
      <xdr:col>1</xdr:col>
      <xdr:colOff>752475</xdr:colOff>
      <xdr:row>34</xdr:row>
      <xdr:rowOff>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" name="Pos">
              <a:extLst>
                <a:ext uri="{FF2B5EF4-FFF2-40B4-BE49-F238E27FC236}">
                  <a16:creationId xmlns:a16="http://schemas.microsoft.com/office/drawing/2014/main" id="{84AC1B77-EE70-CE87-84D3-4BCB78E372C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33375" y="39528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666.817642939815" createdVersion="8" refreshedVersion="8" minRefreshableVersion="3" recordCount="513" xr:uid="{3AD6A98C-61C2-4D6A-AE9C-2072F02FDEE2}">
  <cacheSource type="worksheet">
    <worksheetSource name="Tabla3"/>
  </cacheSource>
  <cacheFields count="32">
    <cacheField name="Rk" numFmtId="0">
      <sharedItems containsSemiMixedTypes="0" containsString="0" containsNumber="1" containsInteger="1" minValue="10" maxValue="5130"/>
    </cacheField>
    <cacheField name="Player" numFmtId="0">
      <sharedItems count="513">
        <s v="Giannis Antetokounmpo"/>
        <s v="Shai Gilgeous-Alexander"/>
        <s v="Nikola Jokić"/>
        <s v="LaMelo Ball"/>
        <s v="Paolo Banchero"/>
        <s v="Jayson Tatum"/>
        <s v="Luka Dončić"/>
        <s v="Kevin Durant"/>
        <s v="De'Aaron Fox"/>
        <s v="Victor Wembanyama"/>
        <s v="Anthony Davis"/>
        <s v="Tyrese Maxey"/>
        <s v="Jalen Brunson"/>
        <s v="Damian Lillard"/>
        <s v="Devin Booker"/>
        <s v="Karl-Anthony Towns"/>
        <s v="Cam Thomas"/>
        <s v="Anthony Edwards"/>
        <s v="Franz Wagner"/>
        <s v="Jaylen Brown"/>
        <s v="Kyrie Irving"/>
        <s v="Joel Embiid"/>
        <s v="Tyler Herro"/>
        <s v="LeBron James"/>
        <s v="Norman Powell"/>
        <s v="Cade Cunningham"/>
        <s v="RJ Barrett"/>
        <s v="Donovan Mitchell"/>
        <s v="CJ McCollum"/>
        <s v="Zion Williamson"/>
        <s v="Trae Young"/>
        <s v="Jaren Jackson Jr."/>
        <s v="Stephen Curry"/>
        <s v="Zach LaVine"/>
        <s v="Brandon Ingram"/>
        <s v="James Harden"/>
        <s v="Jordan Poole"/>
        <s v="Brandon Miller"/>
        <s v="Ja Morant"/>
        <s v="Jalen Williams"/>
        <s v="DeMar DeRozan"/>
        <s v="Trey Murphy III"/>
        <s v="Domantas Sabonis"/>
        <s v="Scottie Barnes"/>
        <s v="Darius Garland"/>
        <s v="Nikola Vučević"/>
        <s v="Julius Randle"/>
        <s v="De'Andre Hunter"/>
        <s v="Pascal Siakam"/>
        <s v="Jalen Johnson"/>
        <s v="Jalen Green"/>
        <s v="Jamal Murray"/>
        <s v="Lauri Markkanen"/>
        <s v="Cameron Johnson"/>
        <s v="Alperen Sengun"/>
        <s v="Michael Porter Jr."/>
        <s v="Evan Mobley"/>
        <s v="Mikal Bridges"/>
        <s v="Austin Reaves"/>
        <s v="Bradley Beal"/>
        <s v="Tyrese Haliburton"/>
        <s v="Miles Bridges"/>
        <s v="Shaedon Sharpe"/>
        <s v="Coby White"/>
        <s v="John Collins"/>
        <s v="Collin Sexton"/>
        <s v="Anfernee Simons"/>
        <s v="Kristaps Porziņģis"/>
        <s v="Jimmy Butler"/>
        <s v="Jaden Ivey"/>
        <s v="Gradey Dick"/>
        <s v="Derrick White"/>
        <s v="Jonathan Kuminga"/>
        <s v="Jordan Clarkson"/>
        <s v="Bennedict Mathurin"/>
        <s v="OG Anunoby"/>
        <s v="Malik Monk"/>
        <s v="Bam Adebayo"/>
        <s v="Desmond Bane"/>
        <s v="Jalen Suggs"/>
        <s v="Chet Holmgren"/>
        <s v="Andrew Wiggins"/>
        <s v="Paul George"/>
        <s v="Dennis Schröder"/>
        <s v="Malik Beasley"/>
        <s v="Keyonte George"/>
        <s v="Immanuel Quickley"/>
        <s v="Payton Pritchard"/>
        <s v="Devin Vassell"/>
        <s v="Dejounte Murray"/>
        <s v="Jakob Poeltl"/>
        <s v="Jared McCain"/>
        <s v="Myles Turner"/>
        <s v="Jerami Grant"/>
        <s v="Ivica Zubac"/>
        <s v="Fred VanVleet"/>
        <s v="Josh Hart"/>
        <s v="Kyle Kuzma"/>
        <s v="Malcolm Brogdon"/>
        <s v="Deandre Ayton"/>
        <s v="Klay Thompson"/>
        <s v="Bobby Portis"/>
        <s v="Christian Braun"/>
        <s v="Tre Mann"/>
        <s v="Dillon Brooks"/>
        <s v="Jeremy Sochan"/>
        <s v="Aaron Gordon"/>
        <s v="Deni Avdija"/>
        <s v="Khris Middleton"/>
        <s v="Jarrett Allen"/>
        <s v="Tobias Harris"/>
        <s v="Santi Aldama"/>
        <s v="Moritz Wagner"/>
        <s v="Dyson Daniels"/>
        <s v="Bilal Coulibaly"/>
        <s v="Kelly Oubre Jr."/>
        <s v="Tyus Jones"/>
        <s v="Naz Reid"/>
        <s v="P.J. Washington"/>
        <s v="Ayo Dosunmu"/>
        <s v="D'Angelo Russell"/>
        <s v="Mark Williams"/>
        <s v="Keldon Johnson"/>
        <s v="Buddy Hield"/>
        <s v="Jrue Holiday"/>
        <s v="Isaiah Hartenstein"/>
        <s v="Brook Lopez"/>
        <s v="Terry Rozier"/>
        <s v="Julian Champagnie"/>
        <s v="Rui Hachimura"/>
        <s v="Russell Westbrook"/>
        <s v="Josh Giddey"/>
        <s v="Alex Sarr"/>
        <s v="Amen Thompson"/>
        <s v="Jabari Smith Jr."/>
        <s v="Daniel Gafford"/>
        <s v="Jonas Valančiūnas"/>
        <s v="Jaylen Wells"/>
        <s v="Caris LeVert"/>
        <s v="Keegan Murray"/>
        <s v="Brandon Boston Jr."/>
        <s v="Onyeka Okongwu"/>
        <s v="Corey Kispert"/>
        <s v="Scoot Henderson"/>
        <s v="Tari Eason"/>
        <s v="Ochai Agbaji"/>
        <s v="Jordan Hawkins"/>
        <s v="Duncan Robinson"/>
        <s v="Zach Edey"/>
        <s v="Justin Champagnie"/>
        <s v="Stephon Castle"/>
        <s v="Naji Marshall"/>
        <s v="Bogdan Bogdanović"/>
        <s v="Herbert Jones"/>
        <s v="T.J. McConnell"/>
        <s v="Scotty Pippen Jr."/>
        <s v="Andrew Nembhard"/>
        <s v="Zaccharie Risacher"/>
        <s v="Harrison Barnes"/>
        <s v="Royce O'Neale"/>
        <s v="Amir Coffey"/>
        <s v="Grayson Allen"/>
        <s v="Grant Williams"/>
        <s v="Jose Alvarado"/>
        <s v="Rudy Gobert"/>
        <s v="Obi Toppin"/>
        <s v="De'Anthony Melton"/>
        <s v="Walker Kessler"/>
        <s v="Patrick Williams"/>
        <s v="Tim Hardaway Jr."/>
        <s v="Quentin Grimes"/>
        <s v="Ty Jerome"/>
        <s v="Donte DiVincenzo"/>
        <s v="Dalton Knecht"/>
        <s v="Chris Boucher"/>
        <s v="Goga Bitadze"/>
        <s v="Jaden McDaniels"/>
        <s v="Nic Claxton"/>
        <s v="Guerschon Yabusele"/>
        <s v="Luguentz Dort"/>
        <s v="Miles McBride"/>
        <s v="Derrick Jones Jr."/>
        <s v="Gary Trent Jr."/>
        <s v="Kevin Porter Jr."/>
        <s v="Jalen Duren"/>
        <s v="Dorian Finney-Smith"/>
        <s v="Larry Nance Jr."/>
        <s v="Chris Paul"/>
        <s v="Yves Missi"/>
        <s v="Clint Capela"/>
        <s v="Nick Richards"/>
        <s v="Jalen Wilson"/>
        <s v="Dalano Banton"/>
        <s v="Kentavious Caldwell-Pope"/>
        <s v="Aaron Wiggins"/>
        <s v="Nickeil Alexander-Walker"/>
        <s v="Marcus Smart"/>
        <s v="Aaron Nesmith"/>
        <s v="Toumani Camara"/>
        <s v="Cam Whitmore"/>
        <s v="Julian Strawther"/>
        <s v="Spencer Dinwiddie"/>
        <s v="Carlton Carrington"/>
        <s v="Kevin Huerter"/>
        <s v="Caleb Martin"/>
        <s v="Tristan Da Silva"/>
        <s v="Jay Huff"/>
        <s v="Trentyn Flowers"/>
        <s v="Jusuf Nurkić"/>
        <s v="Al Horford"/>
        <s v="Draymond Green"/>
        <s v="Peyton Watson"/>
        <s v="Noah Clowney"/>
        <s v="Nikola Jović"/>
        <s v="Dereck Lively II"/>
        <s v="Georges Niang"/>
        <s v="Ziaire Williams"/>
        <s v="Garrison Mathews"/>
        <s v="Anthony Black"/>
        <s v="Trayce Jackson-Davis"/>
        <s v="Jaylen Nowell"/>
        <s v="Jaime Jaquez Jr."/>
        <s v="Luke Kennard"/>
        <s v="Ja'Kobe Walter"/>
        <s v="Cody Martin"/>
        <s v="Trendon Watford"/>
        <s v="Isaiah Joe"/>
        <s v="Mike Conley"/>
        <s v="Jake LaRavia"/>
        <s v="Moses Moody"/>
        <s v="Brandin Podziemski"/>
        <s v="Sam Hauser"/>
        <s v="Brice Sensabaugh"/>
        <s v="Max Christie"/>
        <s v="Jalen Smith"/>
        <s v="Svi Mykhailiuk"/>
        <s v="A.J. Green"/>
        <s v="Wendell Carter Jr."/>
        <s v="Bones Hyland"/>
        <s v="Vasilije Micić"/>
        <s v="Keon Johnson"/>
        <s v="Taurean Prince"/>
        <s v="DaQuan Jeffries"/>
        <s v="Josh Green"/>
        <s v="Brandon Clarke"/>
        <s v="Kyshawn George"/>
        <s v="Kelly Olynyk"/>
        <s v="Ausar Thompson"/>
        <s v="Johnny Juzang"/>
        <s v="Trey Lyles"/>
        <s v="Jaden Hardy"/>
        <s v="Andre Drummond"/>
        <s v="Kris Dunn"/>
        <s v="Isaiah Jackson"/>
        <s v="Sam Merrill"/>
        <s v="Shake Milton"/>
        <s v="Haywood Highsmith"/>
        <s v="Torrey Craig"/>
        <s v="Robert Williams"/>
        <s v="Josh Okogie"/>
        <s v="Cameron Payne"/>
        <s v="Day'Ron Sharpe"/>
        <s v="Bruce Brown"/>
        <s v="Keon Ellis"/>
        <s v="Elfrid Payton"/>
        <s v="Tyrese Martin"/>
        <s v="Jeremiah Robinson-Earl"/>
        <s v="Isaac Okoro"/>
        <s v="Cason Wallace"/>
        <s v="Jarace Walker"/>
        <s v="Davion Mitchell"/>
        <s v="KJ Martin"/>
        <s v="Ajay Mitchell"/>
        <s v="Alec Burks"/>
        <s v="Simone Fontecchio"/>
        <s v="Talen Horton-Tucker"/>
        <s v="Ryan Dunn"/>
        <s v="Cole Anthony"/>
        <s v="Kenrich Williams"/>
        <s v="Dru Smith"/>
        <s v="Terance Mann"/>
        <s v="Ron Holland"/>
        <s v="Dean Wade"/>
        <s v="Isaiah Wong"/>
        <s v="Jamison Battle"/>
        <s v="Quenton Jackson"/>
        <s v="James Wiseman"/>
        <s v="Max Strus"/>
        <s v="Kyle Filipowski"/>
        <s v="Javonte Green"/>
        <s v="Kevin Love"/>
        <s v="Jaxson Hayes"/>
        <s v="Jordan Miller"/>
        <s v="Isaiah Stewart"/>
        <s v="Ben Simmons"/>
        <s v="Malaki Branham"/>
        <s v="Ricky Council IV"/>
        <s v="Jonathan Isaac"/>
        <s v="Marcus Sasser"/>
        <s v="Zach Collins"/>
        <s v="Donovan Clingan"/>
        <s v="Monte Morris"/>
        <s v="Alex Caruso"/>
        <s v="Lindy Waters III"/>
        <s v="Neemias Queta"/>
        <s v="Trevelin Queen"/>
        <s v="Precious Achiuwa"/>
        <s v="Ben Sheppard"/>
        <s v="Eric Gordon"/>
        <s v="Vince Williams Jr."/>
        <s v="Lonzo Ball"/>
        <s v="Kobe Bufkin"/>
        <s v="Kel'el Ware"/>
        <s v="Paul Reed"/>
        <s v="Seth Curry"/>
        <s v="Jared Butler"/>
        <s v="Jonathan Mogbo"/>
        <s v="Pelle Larsson"/>
        <s v="Kyle Anderson"/>
        <s v="Matas Buzelis"/>
        <s v="Jamal Shead"/>
        <s v="Cam Christie"/>
        <s v="Alondes Williams"/>
        <s v="Tidjane Salaün"/>
        <s v="Marvin Bagley III"/>
        <s v="Kevon Looney"/>
        <s v="Drew Eubanks"/>
        <s v="Charles Bassey"/>
        <s v="Taylor Hendricks"/>
        <s v="JT Thor"/>
        <s v="Luke Kornet"/>
        <s v="Keaton Wallace"/>
        <s v="David Roddy"/>
        <s v="Pat Connaughton"/>
        <s v="Gary Payton II"/>
        <s v="Julian Phillips"/>
        <s v="KJ Simpson"/>
        <s v="Dariq Whitehead"/>
        <s v="Sandro Mamukelashvili"/>
        <s v="Jaylin Williams"/>
        <s v="Antonio Reeves"/>
        <s v="Ryan Rollins"/>
        <s v="Thomas Bryant"/>
        <s v="Mason Plumlee"/>
        <s v="Jamal Cain"/>
        <s v="Gabe Vincent"/>
        <s v="Dalen Terry"/>
        <s v="Kyle Lowry"/>
        <s v="Gary Harris"/>
        <s v="Mo Bamba"/>
        <s v="Wendell Moore Jr."/>
        <s v="Micah Potter"/>
        <s v="Jett Howard"/>
        <s v="Josh Richardson"/>
        <s v="Blake Wesley"/>
        <s v="Kris Murray"/>
        <s v="Luka Garza"/>
        <s v="Oso Ighodaro"/>
        <s v="Reggie Jackson"/>
        <s v="Daniel Theis"/>
        <s v="Cam Spencer"/>
        <s v="Doug McDermott"/>
        <s v="Rob Dillingham"/>
        <s v="Aaron Holiday"/>
        <s v="Patty Mills"/>
        <s v="Isaac Jones"/>
        <s v="Andre Jackson Jr."/>
        <s v="Brandon Williams"/>
        <s v="Vit Krejci"/>
        <s v="Cody Williams"/>
        <s v="Jabari Walker"/>
        <s v="Cam Reddish"/>
        <s v="Jevon Carter"/>
        <s v="Bruno Fernando"/>
        <s v="Tre Jones"/>
        <s v="Josh Minott"/>
        <s v="Nicolas Batum"/>
        <s v="Dario Šarić"/>
        <s v="Moussa Diabaté"/>
        <s v="Jae Crowder"/>
        <s v="Bol Bol"/>
        <s v="Jae'Sean Tate"/>
        <s v="Reed Sheppard"/>
        <s v="Jalen Pickett"/>
        <s v="Rayan Rupert"/>
        <s v="Landry Shamet"/>
        <s v="Moses Brown"/>
        <s v="Drew Peterson"/>
        <s v="Isaiah Collier"/>
        <s v="Jeff Dowtin"/>
        <s v="Jock Landale"/>
        <s v="Nick Smith Jr."/>
        <s v="Richaun Holmes"/>
        <s v="Oscar Tshiebwe"/>
        <s v="A.J. Lawson"/>
        <s v="David Duke Jr."/>
        <s v="Taze Moore"/>
        <s v="Collin Gillespie"/>
        <s v="Pete Nance"/>
        <s v="Quincy Olivari"/>
        <s v="Jeff Green"/>
        <s v="DeAndre Jordan"/>
        <s v="Johnny Davis"/>
        <s v="Ousmane Dieng"/>
        <s v="John Konchar"/>
        <s v="Delon Wright"/>
        <s v="Kobe Brown"/>
        <s v="Johnny Furphy"/>
        <s v="Steven Adams"/>
        <s v="TyTy Washington Jr."/>
        <s v="Duop Reath"/>
        <s v="Hunter Tyson"/>
        <s v="Taj Gibson"/>
        <s v="Craig Porter Jr."/>
        <s v="E.J. Liddell"/>
        <s v="Damion Lee"/>
        <s v="Tyler Kolek"/>
        <s v="Trey Jemison"/>
        <s v="Maxi Kleber"/>
        <s v="Olivier-Maxence Prosper"/>
        <s v="Chris Duarte"/>
        <s v="Anthony Gill"/>
        <s v="Lester Quiñones"/>
        <s v="Jeenathan Williams"/>
        <s v="Vlatko Čančar"/>
        <s v="Tristan Thompson"/>
        <s v="Kai Jones"/>
        <s v="Jordan McLaughlin"/>
        <s v="Christian Koloko"/>
        <s v="Jaylon Tyson"/>
        <s v="Patrick Baldwin Jr."/>
        <s v="Orlando Robinson"/>
        <s v="Justin Edwards"/>
        <s v="Cory Joseph"/>
        <s v="Caleb Houstan"/>
        <s v="Alex Reese"/>
        <s v="Dillon Jones"/>
        <s v="Leonard Miller"/>
        <s v="Tyler Smith"/>
        <s v="Jalen Hood-Schifino"/>
        <s v="Markieff Morris"/>
        <s v="Adama Sanogo"/>
        <s v="Ariel Hukporti"/>
        <s v="Keshad Johnson"/>
        <s v="Jericho Sims"/>
        <s v="MarJon Beauchamp"/>
        <s v="Jordan Walsh"/>
        <s v="Alex Len"/>
        <s v="Pacome Dadiet"/>
        <s v="Yuki Kawamura"/>
        <s v="James Johnson"/>
        <s v="Dwight Powell"/>
        <s v="Jazian Gortman"/>
        <s v="Adem Bona"/>
        <s v="Matt Ryan"/>
        <s v="Terrence Shannon Jr."/>
        <s v="Armel Traoré"/>
        <s v="Enrique Freeman"/>
        <s v="Adam Flagler"/>
        <s v="AJ Johnson"/>
        <s v="Colin Castleton"/>
        <s v="Jaden Springer"/>
        <s v="Jack McVeigh"/>
        <s v="Pat Spencer"/>
        <s v="Luke Travers"/>
        <s v="Sidy Cissoko"/>
        <s v="Zeke Nnaji"/>
        <s v="JD Davison"/>
        <s v="Colby Jones"/>
        <s v="Xavier Tillman Sr."/>
        <s v="Bryce McGowens"/>
        <s v="Quinten Post"/>
        <s v="Jared Rhoden"/>
        <s v="Jaylen Martin"/>
        <s v="Mouhamed Gueye"/>
        <s v="Dominick Barlow"/>
        <s v="Trey Alexander"/>
        <s v="Maxwell Lewis"/>
        <s v="D.J. Carton"/>
        <s v="Ulrich Chomche"/>
        <s v="Karlo Matković"/>
        <s v="PJ Dozier"/>
        <s v="Gui Santos"/>
        <s v="Baylor Scheierman"/>
        <s v="Tristan Vukcevic"/>
        <s v="Liam Robbins"/>
        <s v="Chris Livingston"/>
        <s v="PJ Hall"/>
        <s v="Branden Carlson"/>
        <s v="Tristen Newton"/>
        <s v="Cui Yongxi"/>
        <s v="Garrett Temple"/>
        <s v="Bronny James"/>
        <s v="Stanley Umude"/>
        <s v="Spencer Jones"/>
        <s v="Reece Beekman"/>
        <s v="Jalen Bridges"/>
        <s v="Malevy Leons"/>
        <s v="Daishen Nix"/>
        <s v="Jacob Toppin"/>
        <s v="Riley Minix"/>
        <s v="Harrison Ingram"/>
        <s v="Mason Jones"/>
        <s v="Isaiah Crawford"/>
        <s v="Devin Carter"/>
        <s v="Justin Minaya"/>
        <s v="Mac McClung"/>
        <s v="Alex Ducas"/>
        <s v="Joe Ingles"/>
        <s v="Josh Christopher"/>
        <s v="Cole Swider"/>
        <s v="Daniss Jenkins"/>
        <s v="Kessler Edwards"/>
      </sharedItems>
    </cacheField>
    <cacheField name="Age" numFmtId="0">
      <sharedItems containsSemiMixedTypes="0" containsString="0" containsNumber="1" containsInteger="1" minValue="19" maxValue="40" count="22">
        <n v="30"/>
        <n v="26"/>
        <n v="29"/>
        <n v="23"/>
        <n v="22"/>
        <n v="25"/>
        <n v="36"/>
        <n v="27"/>
        <n v="21"/>
        <n v="31"/>
        <n v="24"/>
        <n v="28"/>
        <n v="34"/>
        <n v="32"/>
        <n v="40"/>
        <n v="33"/>
        <n v="35"/>
        <n v="20"/>
        <n v="19"/>
        <n v="39"/>
        <n v="38"/>
        <n v="37"/>
      </sharedItems>
    </cacheField>
    <cacheField name="Team" numFmtId="0">
      <sharedItems count="31">
        <s v="MIL"/>
        <s v="OKC"/>
        <s v="DEN"/>
        <s v="CHO"/>
        <s v="ORL"/>
        <s v="BOS"/>
        <s v="DAL"/>
        <s v="PHO"/>
        <s v="SAC"/>
        <s v="SAS"/>
        <s v="LAL"/>
        <s v="PHI"/>
        <s v="NYK"/>
        <s v="BRK"/>
        <s v="MIN"/>
        <s v="MIA"/>
        <s v="LAC"/>
        <s v="DET"/>
        <s v="TOR"/>
        <s v="CLE"/>
        <s v="NOP"/>
        <s v="ATL"/>
        <s v="MEM"/>
        <s v="GSW"/>
        <s v="CHI"/>
        <s v="WAS"/>
        <s v="IND"/>
        <s v="HOU"/>
        <s v="UTA"/>
        <s v="POR"/>
        <s v="2TM"/>
      </sharedItems>
    </cacheField>
    <cacheField name="Pos" numFmtId="0">
      <sharedItems count="5">
        <s v="PF"/>
        <s v="PG"/>
        <s v="C"/>
        <s v="SG"/>
        <s v="SF"/>
      </sharedItems>
    </cacheField>
    <cacheField name="G" numFmtId="0">
      <sharedItems containsSemiMixedTypes="0" containsString="0" containsNumber="1" containsInteger="1" minValue="1" maxValue="35" count="35">
        <n v="26"/>
        <n v="34"/>
        <n v="30"/>
        <n v="22"/>
        <n v="5"/>
        <n v="32"/>
        <n v="35"/>
        <n v="29"/>
        <n v="25"/>
        <n v="27"/>
        <n v="33"/>
        <n v="19"/>
        <n v="28"/>
        <n v="12"/>
        <n v="31"/>
        <n v="6"/>
        <n v="18"/>
        <n v="23"/>
        <n v="20"/>
        <n v="24"/>
        <n v="21"/>
        <n v="10"/>
        <n v="15"/>
        <n v="17"/>
        <n v="13"/>
        <n v="11"/>
        <n v="16"/>
        <n v="1"/>
        <n v="8"/>
        <n v="14"/>
        <n v="9"/>
        <n v="3"/>
        <n v="7"/>
        <n v="4"/>
        <n v="2"/>
      </sharedItems>
    </cacheField>
    <cacheField name="GS" numFmtId="0">
      <sharedItems containsSemiMixedTypes="0" containsString="0" containsNumber="1" containsInteger="1" minValue="0" maxValue="35"/>
    </cacheField>
    <cacheField name="MP" numFmtId="0">
      <sharedItems containsSemiMixedTypes="0" containsString="0" containsNumber="1" minValue="1.6" maxValue="39.299999999999997"/>
    </cacheField>
    <cacheField name="FG" numFmtId="0">
      <sharedItems containsSemiMixedTypes="0" containsString="0" containsNumber="1" minValue="0" maxValue="12.7"/>
    </cacheField>
    <cacheField name="FGA" numFmtId="0">
      <sharedItems containsSemiMixedTypes="0" containsString="0" containsNumber="1" minValue="0" maxValue="24.6"/>
    </cacheField>
    <cacheField name="FG%" numFmtId="164">
      <sharedItems containsSemiMixedTypes="0" containsString="0" containsNumber="1" minValue="0" maxValue="1"/>
    </cacheField>
    <cacheField name="3P" numFmtId="0">
      <sharedItems containsSemiMixedTypes="0" containsString="0" containsNumber="1" minValue="0" maxValue="4.5"/>
    </cacheField>
    <cacheField name="3PA" numFmtId="0">
      <sharedItems containsSemiMixedTypes="0" containsString="0" containsNumber="1" minValue="0" maxValue="13"/>
    </cacheField>
    <cacheField name="3P%" numFmtId="164">
      <sharedItems containsSemiMixedTypes="0" containsString="0" containsNumber="1" minValue="0" maxValue="1"/>
    </cacheField>
    <cacheField name="2P" numFmtId="0">
      <sharedItems containsSemiMixedTypes="0" containsString="0" containsNumber="1" minValue="0" maxValue="12.5"/>
    </cacheField>
    <cacheField name="2PA" numFmtId="0">
      <sharedItems containsSemiMixedTypes="0" containsString="0" containsNumber="1" minValue="0" maxValue="20.3"/>
    </cacheField>
    <cacheField name="2PA2" numFmtId="0">
      <sharedItems containsSemiMixedTypes="0" containsString="0" containsNumber="1" containsInteger="1" minValue="0" maxValue="203"/>
    </cacheField>
    <cacheField name="2P%" numFmtId="164">
      <sharedItems containsSemiMixedTypes="0" containsString="0" containsNumber="1" minValue="0" maxValue="1"/>
    </cacheField>
    <cacheField name="FT" numFmtId="0">
      <sharedItems containsSemiMixedTypes="0" containsString="0" containsNumber="1" minValue="0" maxValue="7.8"/>
    </cacheField>
    <cacheField name="FTA" numFmtId="0">
      <sharedItems containsSemiMixedTypes="0" containsString="0" containsNumber="1" minValue="0" maxValue="11.8"/>
    </cacheField>
    <cacheField name="FT%" numFmtId="164">
      <sharedItems containsSemiMixedTypes="0" containsString="0" containsNumber="1" minValue="0" maxValue="1"/>
    </cacheField>
    <cacheField name="ORB" numFmtId="0">
      <sharedItems containsSemiMixedTypes="0" containsString="0" containsNumber="1" minValue="0" maxValue="3.9"/>
    </cacheField>
    <cacheField name="DRB" numFmtId="0">
      <sharedItems containsSemiMixedTypes="0" containsString="0" containsNumber="1" minValue="0" maxValue="11.1"/>
    </cacheField>
    <cacheField name="TRB" numFmtId="0">
      <sharedItems containsSemiMixedTypes="0" containsString="0" containsNumber="1" minValue="0" maxValue="14"/>
    </cacheField>
    <cacheField name="AST" numFmtId="0">
      <sharedItems containsSemiMixedTypes="0" containsString="0" containsNumber="1" minValue="0" maxValue="11.9"/>
    </cacheField>
    <cacheField name="STL" numFmtId="0">
      <sharedItems containsSemiMixedTypes="0" containsString="0" containsNumber="1" minValue="0" maxValue="3.2"/>
    </cacheField>
    <cacheField name="BLK" numFmtId="0">
      <sharedItems containsSemiMixedTypes="0" containsString="0" containsNumber="1" minValue="0" maxValue="3.9"/>
    </cacheField>
    <cacheField name="TOV" numFmtId="0">
      <sharedItems containsSemiMixedTypes="0" containsString="0" containsNumber="1" minValue="0" maxValue="4.8"/>
    </cacheField>
    <cacheField name="PF" numFmtId="0">
      <sharedItems containsSemiMixedTypes="0" containsString="0" containsNumber="1" minValue="0" maxValue="4"/>
    </cacheField>
    <cacheField name="PTSPP" numFmtId="0">
      <sharedItems containsSemiMixedTypes="0" containsString="0" containsNumber="1" minValue="0" maxValue="32.4"/>
    </cacheField>
    <cacheField name="Eficiencia" numFmtId="0" formula="Campo1/100" databaseField="0"/>
    <cacheField name="Campo1" numFmtId="0" formula="(PTSPP+AST +TRB +BLK +STL )-(TOV -(FTA -FT )-(FGA -FG ) )" databaseField="0"/>
  </cacheFields>
  <extLst>
    <ext xmlns:x14="http://schemas.microsoft.com/office/spreadsheetml/2009/9/main" uri="{725AE2AE-9491-48be-B2B4-4EB974FC3084}">
      <x14:pivotCacheDefinition pivotCacheId="5993211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3">
  <r>
    <n v="10"/>
    <x v="0"/>
    <x v="0"/>
    <x v="0"/>
    <x v="0"/>
    <x v="0"/>
    <n v="26"/>
    <n v="35.1"/>
    <n v="12.7"/>
    <n v="21"/>
    <n v="0.60476190476190472"/>
    <n v="0.2"/>
    <n v="0.7"/>
    <n v="0.28571428571428575"/>
    <n v="12.5"/>
    <n v="20.3"/>
    <n v="203"/>
    <n v="0.61576354679802958"/>
    <n v="6.8"/>
    <n v="11.3"/>
    <n v="0.60176991150442471"/>
    <n v="2"/>
    <n v="9.6"/>
    <n v="11.7"/>
    <n v="6"/>
    <n v="0.8"/>
    <n v="1.5"/>
    <n v="3.3"/>
    <n v="2.5"/>
    <n v="32.4"/>
  </r>
  <r>
    <n v="20"/>
    <x v="1"/>
    <x v="1"/>
    <x v="1"/>
    <x v="1"/>
    <x v="1"/>
    <n v="34"/>
    <n v="34.4"/>
    <n v="11"/>
    <n v="21"/>
    <n v="0.52380952380952384"/>
    <n v="2.1"/>
    <n v="6"/>
    <n v="0.35000000000000003"/>
    <n v="8.9"/>
    <n v="15"/>
    <n v="150"/>
    <n v="0.59333333333333338"/>
    <n v="7"/>
    <n v="7.9"/>
    <n v="0.88607594936708856"/>
    <n v="0.8"/>
    <n v="4.5999999999999996"/>
    <n v="5.4"/>
    <n v="6.1"/>
    <n v="2"/>
    <n v="1.1000000000000001"/>
    <n v="2.6"/>
    <n v="2.1"/>
    <n v="31.2"/>
  </r>
  <r>
    <n v="30"/>
    <x v="2"/>
    <x v="2"/>
    <x v="2"/>
    <x v="2"/>
    <x v="2"/>
    <n v="30"/>
    <n v="36.9"/>
    <n v="11.8"/>
    <n v="21.3"/>
    <n v="0.5539906103286385"/>
    <n v="2.2999999999999998"/>
    <n v="4.7"/>
    <n v="0.4893617021276595"/>
    <n v="9.5"/>
    <n v="16.5"/>
    <n v="165"/>
    <n v="0.5757575757575758"/>
    <n v="5.2"/>
    <n v="6.5"/>
    <n v="0.8"/>
    <n v="3.5"/>
    <n v="9.6999999999999993"/>
    <n v="13.2"/>
    <n v="9.6999999999999993"/>
    <n v="1.7"/>
    <n v="0.6"/>
    <n v="3.3"/>
    <n v="2.1"/>
    <n v="31"/>
  </r>
  <r>
    <n v="40"/>
    <x v="3"/>
    <x v="3"/>
    <x v="3"/>
    <x v="1"/>
    <x v="3"/>
    <n v="22"/>
    <n v="33.700000000000003"/>
    <n v="10.5"/>
    <n v="24.6"/>
    <n v="0.42682926829268292"/>
    <n v="4.5"/>
    <n v="13"/>
    <n v="0.34615384615384615"/>
    <n v="6"/>
    <n v="11.6"/>
    <n v="116"/>
    <n v="0.51724137931034486"/>
    <n v="4.7"/>
    <n v="5.5"/>
    <n v="0.85454545454545461"/>
    <n v="0.9"/>
    <n v="4.5"/>
    <n v="5.3"/>
    <n v="7.4"/>
    <n v="1.3"/>
    <n v="0.2"/>
    <n v="4.0999999999999996"/>
    <n v="3.7"/>
    <n v="30.1"/>
  </r>
  <r>
    <n v="50"/>
    <x v="4"/>
    <x v="4"/>
    <x v="4"/>
    <x v="0"/>
    <x v="4"/>
    <n v="5"/>
    <n v="36.4"/>
    <n v="9.6"/>
    <n v="19.399999999999999"/>
    <n v="0.49484536082474229"/>
    <n v="2.2000000000000002"/>
    <n v="6.4"/>
    <n v="0.34375"/>
    <n v="7.4"/>
    <n v="13"/>
    <n v="130"/>
    <n v="0.56923076923076921"/>
    <n v="7.6"/>
    <n v="11.8"/>
    <n v="0.64406779661016944"/>
    <n v="2.4"/>
    <n v="6.4"/>
    <n v="8.8000000000000007"/>
    <n v="5.6"/>
    <n v="0.6"/>
    <n v="0.8"/>
    <n v="2.2000000000000002"/>
    <n v="2.6"/>
    <n v="29"/>
  </r>
  <r>
    <n v="60"/>
    <x v="5"/>
    <x v="1"/>
    <x v="5"/>
    <x v="0"/>
    <x v="5"/>
    <n v="32"/>
    <n v="36.299999999999997"/>
    <n v="9.4"/>
    <n v="20.2"/>
    <n v="0.46534653465346537"/>
    <n v="3.9"/>
    <n v="10.7"/>
    <n v="0.36448598130841126"/>
    <n v="5.4"/>
    <n v="9.6"/>
    <n v="96"/>
    <n v="0.56250000000000011"/>
    <n v="5.5"/>
    <n v="6.9"/>
    <n v="0.79710144927536231"/>
    <n v="0.6"/>
    <n v="8.8000000000000007"/>
    <n v="9.4"/>
    <n v="5.6"/>
    <n v="1.3"/>
    <n v="0.4"/>
    <n v="2.8"/>
    <n v="2.5"/>
    <n v="28.2"/>
  </r>
  <r>
    <n v="70"/>
    <x v="6"/>
    <x v="5"/>
    <x v="6"/>
    <x v="1"/>
    <x v="3"/>
    <n v="22"/>
    <n v="35.700000000000003"/>
    <n v="9.8000000000000007"/>
    <n v="21.2"/>
    <n v="0.46226415094339629"/>
    <n v="3.4"/>
    <n v="9.6"/>
    <n v="0.35416666666666669"/>
    <n v="6.4"/>
    <n v="11.5"/>
    <n v="115"/>
    <n v="0.55652173913043479"/>
    <n v="5.0999999999999996"/>
    <n v="6.6"/>
    <n v="0.77272727272727271"/>
    <n v="0.7"/>
    <n v="7.6"/>
    <n v="8.3000000000000007"/>
    <n v="7.8"/>
    <n v="2"/>
    <n v="0.4"/>
    <n v="3.4"/>
    <n v="2.6"/>
    <n v="28.1"/>
  </r>
  <r>
    <n v="80"/>
    <x v="7"/>
    <x v="6"/>
    <x v="7"/>
    <x v="0"/>
    <x v="3"/>
    <n v="22"/>
    <n v="36"/>
    <n v="9.8000000000000007"/>
    <n v="19.100000000000001"/>
    <n v="0.51308900523560208"/>
    <n v="2.4"/>
    <n v="5.9"/>
    <n v="0.40677966101694912"/>
    <n v="7.4"/>
    <n v="13.2"/>
    <n v="132"/>
    <n v="0.56060606060606066"/>
    <n v="5.8"/>
    <n v="6.9"/>
    <n v="0.84057971014492749"/>
    <n v="0.5"/>
    <n v="6"/>
    <n v="6.5"/>
    <n v="3.8"/>
    <n v="0.8"/>
    <n v="1.3"/>
    <n v="3.3"/>
    <n v="1.8"/>
    <n v="27.7"/>
  </r>
  <r>
    <n v="90"/>
    <x v="8"/>
    <x v="7"/>
    <x v="8"/>
    <x v="1"/>
    <x v="6"/>
    <n v="35"/>
    <n v="37.299999999999997"/>
    <n v="9.9"/>
    <n v="20.3"/>
    <n v="0.48768472906403942"/>
    <n v="2"/>
    <n v="6.3"/>
    <n v="0.31746031746031744"/>
    <n v="7.8"/>
    <n v="14"/>
    <n v="140"/>
    <n v="0.55714285714285716"/>
    <n v="4.9000000000000004"/>
    <n v="6.1"/>
    <n v="0.80327868852459028"/>
    <n v="1.1000000000000001"/>
    <n v="3.9"/>
    <n v="4.9000000000000004"/>
    <n v="6.2"/>
    <n v="1.6"/>
    <n v="0.3"/>
    <n v="3.3"/>
    <n v="2.8"/>
    <n v="26.7"/>
  </r>
  <r>
    <n v="100"/>
    <x v="9"/>
    <x v="8"/>
    <x v="9"/>
    <x v="2"/>
    <x v="7"/>
    <n v="29"/>
    <n v="32.9"/>
    <n v="9.3000000000000007"/>
    <n v="19.2"/>
    <n v="0.48437500000000006"/>
    <n v="3.3"/>
    <n v="9.1999999999999993"/>
    <n v="0.35869565217391303"/>
    <n v="6"/>
    <n v="10"/>
    <n v="100"/>
    <n v="0.6"/>
    <n v="3.9"/>
    <n v="4.4000000000000004"/>
    <n v="0.88636363636363624"/>
    <n v="1.9"/>
    <n v="8.4"/>
    <n v="10.3"/>
    <n v="3.9"/>
    <n v="1"/>
    <n v="3.9"/>
    <n v="3.6"/>
    <n v="2.1"/>
    <n v="25.9"/>
  </r>
  <r>
    <n v="110"/>
    <x v="10"/>
    <x v="9"/>
    <x v="10"/>
    <x v="2"/>
    <x v="5"/>
    <n v="32"/>
    <n v="34.799999999999997"/>
    <n v="9.4"/>
    <n v="18"/>
    <n v="0.52222222222222225"/>
    <n v="0.7"/>
    <n v="2.2000000000000002"/>
    <n v="0.31818181818181812"/>
    <n v="8.6999999999999993"/>
    <n v="15.8"/>
    <n v="158"/>
    <n v="0.550632911392405"/>
    <n v="6.4"/>
    <n v="8.1999999999999993"/>
    <n v="0.78048780487804892"/>
    <n v="2.6"/>
    <n v="9.1999999999999993"/>
    <n v="11.8"/>
    <n v="3.6"/>
    <n v="1.3"/>
    <n v="2.1"/>
    <n v="2.2999999999999998"/>
    <n v="1.9"/>
    <n v="25.8"/>
  </r>
  <r>
    <n v="120"/>
    <x v="11"/>
    <x v="10"/>
    <x v="11"/>
    <x v="1"/>
    <x v="0"/>
    <n v="26"/>
    <n v="37.200000000000003"/>
    <n v="8.8000000000000007"/>
    <n v="20.8"/>
    <n v="0.42307692307692307"/>
    <n v="3.2"/>
    <n v="9.4"/>
    <n v="0.34042553191489361"/>
    <n v="5.6"/>
    <n v="11.5"/>
    <n v="115"/>
    <n v="0.4869565217391304"/>
    <n v="4.7"/>
    <n v="5.6"/>
    <n v="0.83928571428571441"/>
    <n v="0.2"/>
    <n v="3.3"/>
    <n v="3.5"/>
    <n v="5.4"/>
    <n v="2.2000000000000002"/>
    <n v="0.5"/>
    <n v="2.2999999999999998"/>
    <n v="2.4"/>
    <n v="25.5"/>
  </r>
  <r>
    <n v="130"/>
    <x v="12"/>
    <x v="11"/>
    <x v="12"/>
    <x v="1"/>
    <x v="1"/>
    <n v="34"/>
    <n v="35.1"/>
    <n v="8.6"/>
    <n v="17.899999999999999"/>
    <n v="0.48044692737430167"/>
    <n v="2.4"/>
    <n v="6.2"/>
    <n v="0.38709677419354838"/>
    <n v="6.1"/>
    <n v="11.7"/>
    <n v="117"/>
    <n v="0.5213675213675214"/>
    <n v="5.5"/>
    <n v="6.7"/>
    <n v="0.82089552238805963"/>
    <n v="0.4"/>
    <n v="2.5"/>
    <n v="3"/>
    <n v="7.7"/>
    <n v="0.8"/>
    <n v="0.1"/>
    <n v="2.4"/>
    <n v="2.2000000000000002"/>
    <n v="25.1"/>
  </r>
  <r>
    <n v="140"/>
    <x v="13"/>
    <x v="12"/>
    <x v="0"/>
    <x v="1"/>
    <x v="8"/>
    <n v="25"/>
    <n v="36.5"/>
    <n v="7.6"/>
    <n v="17.600000000000001"/>
    <n v="0.43181818181818177"/>
    <n v="3.4"/>
    <n v="9.4"/>
    <n v="0.36170212765957444"/>
    <n v="4.2"/>
    <n v="8.1999999999999993"/>
    <n v="82"/>
    <n v="0.51219512195121952"/>
    <n v="6.4"/>
    <n v="6.9"/>
    <n v="0.92753623188405798"/>
    <n v="0.6"/>
    <n v="3.8"/>
    <n v="4.5"/>
    <n v="7.6"/>
    <n v="1.1000000000000001"/>
    <n v="0.2"/>
    <n v="2.9"/>
    <n v="1.9"/>
    <n v="25.1"/>
  </r>
  <r>
    <n v="150"/>
    <x v="14"/>
    <x v="11"/>
    <x v="7"/>
    <x v="3"/>
    <x v="9"/>
    <n v="27"/>
    <n v="36.299999999999997"/>
    <n v="7.8"/>
    <n v="18.2"/>
    <n v="0.4285714285714286"/>
    <n v="2.6"/>
    <n v="7.7"/>
    <n v="0.33766233766233766"/>
    <n v="5.2"/>
    <n v="10.5"/>
    <n v="105"/>
    <n v="0.49523809523809526"/>
    <n v="6.5"/>
    <n v="7.2"/>
    <n v="0.90277777777777779"/>
    <n v="1.1000000000000001"/>
    <n v="2.5"/>
    <n v="3.7"/>
    <n v="6.5"/>
    <n v="1.1000000000000001"/>
    <n v="0.3"/>
    <n v="2.2999999999999998"/>
    <n v="2.1"/>
    <n v="24.7"/>
  </r>
  <r>
    <n v="170"/>
    <x v="15"/>
    <x v="2"/>
    <x v="12"/>
    <x v="2"/>
    <x v="10"/>
    <n v="33"/>
    <n v="34.5"/>
    <n v="8.8000000000000007"/>
    <n v="16.2"/>
    <n v="0.54320987654320996"/>
    <n v="2.1"/>
    <n v="4.8"/>
    <n v="0.43750000000000006"/>
    <n v="6.7"/>
    <n v="11.3"/>
    <n v="113"/>
    <n v="0.59292035398230092"/>
    <n v="4.9000000000000004"/>
    <n v="5.8"/>
    <n v="0.84482758620689669"/>
    <n v="2.9"/>
    <n v="11.1"/>
    <n v="14"/>
    <n v="3.3"/>
    <n v="0.9"/>
    <n v="0.9"/>
    <n v="2.5"/>
    <n v="3.6"/>
    <n v="24.7"/>
  </r>
  <r>
    <n v="160"/>
    <x v="16"/>
    <x v="3"/>
    <x v="13"/>
    <x v="3"/>
    <x v="11"/>
    <n v="17"/>
    <n v="32.299999999999997"/>
    <n v="7.9"/>
    <n v="17.7"/>
    <n v="0.44632768361581926"/>
    <n v="2.8"/>
    <n v="7.6"/>
    <n v="0.36842105263157893"/>
    <n v="5.0999999999999996"/>
    <n v="10.199999999999999"/>
    <n v="102"/>
    <n v="0.5"/>
    <n v="5.9"/>
    <n v="6.8"/>
    <n v="0.86764705882352944"/>
    <n v="0.5"/>
    <n v="3.1"/>
    <n v="3.6"/>
    <n v="3.4"/>
    <n v="0.7"/>
    <n v="0.1"/>
    <n v="2.7"/>
    <n v="1.9"/>
    <n v="24.7"/>
  </r>
  <r>
    <n v="180"/>
    <x v="17"/>
    <x v="3"/>
    <x v="14"/>
    <x v="3"/>
    <x v="10"/>
    <n v="33"/>
    <n v="36.1"/>
    <n v="8.6999999999999993"/>
    <n v="19.8"/>
    <n v="0.43939393939393934"/>
    <n v="4"/>
    <n v="9.6999999999999993"/>
    <n v="0.41237113402061859"/>
    <n v="4.7"/>
    <n v="10.1"/>
    <n v="101"/>
    <n v="0.46534653465346537"/>
    <n v="3.1"/>
    <n v="3.8"/>
    <n v="0.81578947368421062"/>
    <n v="0.6"/>
    <n v="5"/>
    <n v="5.6"/>
    <n v="4"/>
    <n v="1.2"/>
    <n v="0.6"/>
    <n v="3"/>
    <n v="1.9"/>
    <n v="24.5"/>
  </r>
  <r>
    <n v="200"/>
    <x v="18"/>
    <x v="3"/>
    <x v="4"/>
    <x v="4"/>
    <x v="8"/>
    <n v="25"/>
    <n v="33.200000000000003"/>
    <n v="8.8000000000000007"/>
    <n v="18.899999999999999"/>
    <n v="0.46560846560846569"/>
    <n v="2"/>
    <n v="6.4"/>
    <n v="0.3125"/>
    <n v="6.8"/>
    <n v="12.6"/>
    <n v="126"/>
    <n v="0.53968253968253965"/>
    <n v="4.8"/>
    <n v="5.4"/>
    <n v="0.88888888888888884"/>
    <n v="0.9"/>
    <n v="4.7"/>
    <n v="5.6"/>
    <n v="5.7"/>
    <n v="1.7"/>
    <n v="0.5"/>
    <n v="2.4"/>
    <n v="2.2999999999999998"/>
    <n v="24.4"/>
  </r>
  <r>
    <n v="190"/>
    <x v="19"/>
    <x v="11"/>
    <x v="5"/>
    <x v="4"/>
    <x v="12"/>
    <n v="28"/>
    <n v="35.4"/>
    <n v="9"/>
    <n v="19.399999999999999"/>
    <n v="0.46391752577319589"/>
    <n v="2.2999999999999998"/>
    <n v="7"/>
    <n v="0.32857142857142857"/>
    <n v="6.6"/>
    <n v="12.4"/>
    <n v="124"/>
    <n v="0.532258064516129"/>
    <n v="4.0999999999999996"/>
    <n v="5.6"/>
    <n v="0.7321428571428571"/>
    <n v="1.5"/>
    <n v="4.5"/>
    <n v="6"/>
    <n v="4.5999999999999996"/>
    <n v="1.4"/>
    <n v="0.3"/>
    <n v="2.8"/>
    <n v="2.4"/>
    <n v="24.4"/>
  </r>
  <r>
    <n v="210"/>
    <x v="20"/>
    <x v="13"/>
    <x v="6"/>
    <x v="3"/>
    <x v="2"/>
    <n v="30"/>
    <n v="35.6"/>
    <n v="9"/>
    <n v="18.3"/>
    <n v="0.49180327868852458"/>
    <n v="3.1"/>
    <n v="7"/>
    <n v="0.44285714285714289"/>
    <n v="5.9"/>
    <n v="11.3"/>
    <n v="113"/>
    <n v="0.52212389380530977"/>
    <n v="3.3"/>
    <n v="3.6"/>
    <n v="0.91666666666666663"/>
    <n v="1"/>
    <n v="3.5"/>
    <n v="4.5999999999999996"/>
    <n v="4.9000000000000004"/>
    <n v="1.2"/>
    <n v="0.4"/>
    <n v="2.2999999999999998"/>
    <n v="2.2000000000000002"/>
    <n v="24.3"/>
  </r>
  <r>
    <n v="220"/>
    <x v="21"/>
    <x v="0"/>
    <x v="11"/>
    <x v="2"/>
    <x v="13"/>
    <n v="12"/>
    <n v="29.5"/>
    <n v="7.6"/>
    <n v="16.899999999999999"/>
    <n v="0.44970414201183434"/>
    <n v="1.2"/>
    <n v="3.8"/>
    <n v="0.31578947368421051"/>
    <n v="6.4"/>
    <n v="13.1"/>
    <n v="131"/>
    <n v="0.48854961832061072"/>
    <n v="7.8"/>
    <n v="8.5"/>
    <n v="0.91764705882352937"/>
    <n v="1.8"/>
    <n v="5.8"/>
    <n v="7.6"/>
    <n v="3.7"/>
    <n v="0.9"/>
    <n v="1.1000000000000001"/>
    <n v="3.2"/>
    <n v="2.2999999999999998"/>
    <n v="24.1"/>
  </r>
  <r>
    <n v="230"/>
    <x v="22"/>
    <x v="5"/>
    <x v="15"/>
    <x v="3"/>
    <x v="5"/>
    <n v="32"/>
    <n v="35.299999999999997"/>
    <n v="8.3000000000000007"/>
    <n v="17.5"/>
    <n v="0.47428571428571431"/>
    <n v="3.9"/>
    <n v="9.6"/>
    <n v="0.40625"/>
    <n v="4.4000000000000004"/>
    <n v="7.9"/>
    <n v="79"/>
    <n v="0.55696202531645567"/>
    <n v="3.4"/>
    <n v="4"/>
    <n v="0.85"/>
    <n v="0.3"/>
    <n v="5.2"/>
    <n v="5.5"/>
    <n v="5.0999999999999996"/>
    <n v="0.7"/>
    <n v="0.1"/>
    <n v="2.5"/>
    <n v="1.6"/>
    <n v="24.1"/>
  </r>
  <r>
    <n v="240"/>
    <x v="23"/>
    <x v="14"/>
    <x v="10"/>
    <x v="4"/>
    <x v="14"/>
    <n v="31"/>
    <n v="34.9"/>
    <n v="9.3000000000000007"/>
    <n v="18.3"/>
    <n v="0.50819672131147542"/>
    <n v="2.2000000000000002"/>
    <n v="5.7"/>
    <n v="0.38596491228070179"/>
    <n v="7.1"/>
    <n v="12.6"/>
    <n v="126"/>
    <n v="0.56349206349206349"/>
    <n v="3.4"/>
    <n v="4.4000000000000004"/>
    <n v="0.7727272727272726"/>
    <n v="0.9"/>
    <n v="6.5"/>
    <n v="7.4"/>
    <n v="8.9"/>
    <n v="0.7"/>
    <n v="0.6"/>
    <n v="3.8"/>
    <n v="1.4"/>
    <n v="24.1"/>
  </r>
  <r>
    <n v="260"/>
    <x v="24"/>
    <x v="9"/>
    <x v="16"/>
    <x v="3"/>
    <x v="9"/>
    <n v="27"/>
    <n v="33.1"/>
    <n v="8.1"/>
    <n v="17"/>
    <n v="0.47647058823529409"/>
    <n v="3.6"/>
    <n v="8.1"/>
    <n v="0.44444444444444448"/>
    <n v="4.5999999999999996"/>
    <n v="8.8000000000000007"/>
    <n v="88"/>
    <n v="0.5227272727272726"/>
    <n v="3.7"/>
    <n v="4.4000000000000004"/>
    <n v="0.84090909090909083"/>
    <n v="0.3"/>
    <n v="3"/>
    <n v="3.3"/>
    <n v="2.4"/>
    <n v="1.2"/>
    <n v="0.2"/>
    <n v="2.2000000000000002"/>
    <n v="2.1"/>
    <n v="23.6"/>
  </r>
  <r>
    <n v="250"/>
    <x v="25"/>
    <x v="3"/>
    <x v="17"/>
    <x v="1"/>
    <x v="2"/>
    <n v="30"/>
    <n v="35.6"/>
    <n v="8.9"/>
    <n v="19.8"/>
    <n v="0.4494949494949495"/>
    <n v="2.4"/>
    <n v="6.5"/>
    <n v="0.3692307692307692"/>
    <n v="6.5"/>
    <n v="13.4"/>
    <n v="134"/>
    <n v="0.48507462686567165"/>
    <n v="3.5"/>
    <n v="4.4000000000000004"/>
    <n v="0.79545454545454541"/>
    <n v="1"/>
    <n v="5.7"/>
    <n v="6.7"/>
    <n v="9.5"/>
    <n v="0.8"/>
    <n v="0.9"/>
    <n v="4.4000000000000004"/>
    <n v="2.9"/>
    <n v="23.6"/>
  </r>
  <r>
    <n v="270"/>
    <x v="26"/>
    <x v="10"/>
    <x v="18"/>
    <x v="3"/>
    <x v="9"/>
    <n v="27"/>
    <n v="34.1"/>
    <n v="8.5"/>
    <n v="18.5"/>
    <n v="0.45945945945945948"/>
    <n v="1.9"/>
    <n v="5.6"/>
    <n v="0.3392857142857143"/>
    <n v="6.6"/>
    <n v="12.9"/>
    <n v="129"/>
    <n v="0.5116279069767441"/>
    <n v="4.5"/>
    <n v="6.2"/>
    <n v="0.72580645161290325"/>
    <n v="0.9"/>
    <n v="5.9"/>
    <n v="6.8"/>
    <n v="6.2"/>
    <n v="0.7"/>
    <n v="0.4"/>
    <n v="3.4"/>
    <n v="2.5"/>
    <n v="23.4"/>
  </r>
  <r>
    <n v="280"/>
    <x v="27"/>
    <x v="11"/>
    <x v="19"/>
    <x v="3"/>
    <x v="10"/>
    <n v="33"/>
    <n v="31.4"/>
    <n v="8.1999999999999993"/>
    <n v="18.100000000000001"/>
    <n v="0.45303867403314907"/>
    <n v="3.8"/>
    <n v="9.3000000000000007"/>
    <n v="0.40860215053763438"/>
    <n v="4.4000000000000004"/>
    <n v="8.8000000000000007"/>
    <n v="88"/>
    <n v="0.5"/>
    <n v="3.1"/>
    <n v="3.8"/>
    <n v="0.81578947368421062"/>
    <n v="0.5"/>
    <n v="3.9"/>
    <n v="4.4000000000000004"/>
    <n v="4.7"/>
    <n v="1.5"/>
    <n v="0.2"/>
    <n v="2.1"/>
    <n v="1.9"/>
    <n v="23.4"/>
  </r>
  <r>
    <n v="290"/>
    <x v="28"/>
    <x v="15"/>
    <x v="20"/>
    <x v="1"/>
    <x v="3"/>
    <n v="22"/>
    <n v="33.6"/>
    <n v="8.6999999999999993"/>
    <n v="18.899999999999999"/>
    <n v="0.46031746031746029"/>
    <n v="3.1"/>
    <n v="8.4"/>
    <n v="0.36904761904761907"/>
    <n v="5.6"/>
    <n v="10.5"/>
    <n v="105"/>
    <n v="0.53333333333333333"/>
    <n v="2.2999999999999998"/>
    <n v="3.2"/>
    <n v="0.71874999999999989"/>
    <n v="0.8"/>
    <n v="3"/>
    <n v="3.8"/>
    <n v="4"/>
    <n v="1"/>
    <n v="0.5"/>
    <n v="1.7"/>
    <n v="2.4"/>
    <n v="22.7"/>
  </r>
  <r>
    <n v="300"/>
    <x v="29"/>
    <x v="10"/>
    <x v="20"/>
    <x v="0"/>
    <x v="15"/>
    <n v="6"/>
    <n v="31"/>
    <n v="7.8"/>
    <n v="17.3"/>
    <n v="0.45086705202312138"/>
    <n v="0.3"/>
    <n v="1"/>
    <n v="0.3"/>
    <n v="7.5"/>
    <n v="16.3"/>
    <n v="163"/>
    <n v="0.46012269938650302"/>
    <n v="6.7"/>
    <n v="10"/>
    <n v="0.67"/>
    <n v="2.7"/>
    <n v="5.3"/>
    <n v="8"/>
    <n v="5.3"/>
    <n v="0.7"/>
    <n v="1.2"/>
    <n v="3.7"/>
    <n v="3"/>
    <n v="22.7"/>
  </r>
  <r>
    <n v="310"/>
    <x v="30"/>
    <x v="1"/>
    <x v="21"/>
    <x v="1"/>
    <x v="10"/>
    <n v="33"/>
    <n v="35.799999999999997"/>
    <n v="6.8"/>
    <n v="17"/>
    <n v="0.39999999999999997"/>
    <n v="2.9"/>
    <n v="8.5"/>
    <n v="0.3411764705882353"/>
    <n v="3.9"/>
    <n v="8.5"/>
    <n v="85"/>
    <n v="0.45882352941176469"/>
    <n v="6.1"/>
    <n v="7"/>
    <n v="0.87142857142857133"/>
    <n v="0.5"/>
    <n v="3"/>
    <n v="3.5"/>
    <n v="11.9"/>
    <n v="1.3"/>
    <n v="0.2"/>
    <n v="4.4000000000000004"/>
    <n v="2"/>
    <n v="22.6"/>
  </r>
  <r>
    <n v="330"/>
    <x v="31"/>
    <x v="5"/>
    <x v="22"/>
    <x v="2"/>
    <x v="10"/>
    <n v="33"/>
    <n v="28.7"/>
    <n v="7.9"/>
    <n v="16.2"/>
    <n v="0.48765432098765438"/>
    <n v="1.9"/>
    <n v="5.3"/>
    <n v="0.35849056603773582"/>
    <n v="6"/>
    <n v="10.8"/>
    <n v="108"/>
    <n v="0.55555555555555547"/>
    <n v="4.5999999999999996"/>
    <n v="5.8"/>
    <n v="0.79310344827586199"/>
    <n v="1.4"/>
    <n v="4.8"/>
    <n v="6.1"/>
    <n v="1.9"/>
    <n v="1.4"/>
    <n v="1.7"/>
    <n v="2.2000000000000002"/>
    <n v="3.3"/>
    <n v="22.3"/>
  </r>
  <r>
    <n v="320"/>
    <x v="32"/>
    <x v="6"/>
    <x v="23"/>
    <x v="1"/>
    <x v="9"/>
    <n v="27"/>
    <n v="31.2"/>
    <n v="7.4"/>
    <n v="16.7"/>
    <n v="0.44311377245508987"/>
    <n v="4.3"/>
    <n v="10.4"/>
    <n v="0.41346153846153844"/>
    <n v="3.1"/>
    <n v="6.3"/>
    <n v="63"/>
    <n v="0.49206349206349209"/>
    <n v="3.1"/>
    <n v="3.4"/>
    <n v="0.91176470588235303"/>
    <n v="0.5"/>
    <n v="4.3"/>
    <n v="4.8"/>
    <n v="6.5"/>
    <n v="1.1000000000000001"/>
    <n v="0.5"/>
    <n v="3"/>
    <n v="1.1000000000000001"/>
    <n v="22.3"/>
  </r>
  <r>
    <n v="340"/>
    <x v="33"/>
    <x v="2"/>
    <x v="24"/>
    <x v="4"/>
    <x v="7"/>
    <n v="29"/>
    <n v="33.299999999999997"/>
    <n v="8"/>
    <n v="15.9"/>
    <n v="0.50314465408805031"/>
    <n v="3.3"/>
    <n v="7.4"/>
    <n v="0.44594594594594589"/>
    <n v="4.7"/>
    <n v="8.4"/>
    <n v="84"/>
    <n v="0.55952380952380953"/>
    <n v="3"/>
    <n v="3.8"/>
    <n v="0.78947368421052633"/>
    <n v="0.2"/>
    <n v="4.2"/>
    <n v="4.4000000000000004"/>
    <n v="4.3"/>
    <n v="0.9"/>
    <n v="0.3"/>
    <n v="3"/>
    <n v="1.7"/>
    <n v="22.3"/>
  </r>
  <r>
    <n v="350"/>
    <x v="34"/>
    <x v="7"/>
    <x v="20"/>
    <x v="4"/>
    <x v="16"/>
    <n v="18"/>
    <n v="33.1"/>
    <n v="8.6"/>
    <n v="18.5"/>
    <n v="0.46486486486486484"/>
    <n v="2.4"/>
    <n v="6.4"/>
    <n v="0.37499999999999994"/>
    <n v="6.2"/>
    <n v="12.1"/>
    <n v="121"/>
    <n v="0.5123966942148761"/>
    <n v="2.6"/>
    <n v="3.1"/>
    <n v="0.83870967741935487"/>
    <n v="0.9"/>
    <n v="4.5999999999999996"/>
    <n v="5.6"/>
    <n v="5.2"/>
    <n v="0.9"/>
    <n v="0.6"/>
    <n v="3.8"/>
    <n v="2.5"/>
    <n v="22.2"/>
  </r>
  <r>
    <n v="360"/>
    <x v="35"/>
    <x v="16"/>
    <x v="16"/>
    <x v="1"/>
    <x v="5"/>
    <n v="32"/>
    <n v="33.9"/>
    <n v="6.3"/>
    <n v="15.9"/>
    <n v="0.39622641509433959"/>
    <n v="2.8"/>
    <n v="8.1999999999999993"/>
    <n v="0.34146341463414637"/>
    <n v="3.4"/>
    <n v="7.7"/>
    <n v="77"/>
    <n v="0.44155844155844154"/>
    <n v="6.6"/>
    <n v="7.4"/>
    <n v="0.89189189189189177"/>
    <n v="0.6"/>
    <n v="5.5"/>
    <n v="6.1"/>
    <n v="7.8"/>
    <n v="1.5"/>
    <n v="0.6"/>
    <n v="4.8"/>
    <n v="2"/>
    <n v="21.9"/>
  </r>
  <r>
    <n v="370"/>
    <x v="36"/>
    <x v="5"/>
    <x v="25"/>
    <x v="3"/>
    <x v="12"/>
    <n v="28"/>
    <n v="31.4"/>
    <n v="7"/>
    <n v="16.2"/>
    <n v="0.4320987654320988"/>
    <n v="3.6"/>
    <n v="8.9"/>
    <n v="0.4044943820224719"/>
    <n v="3.4"/>
    <n v="7.3"/>
    <n v="73"/>
    <n v="0.46575342465753422"/>
    <n v="4.0999999999999996"/>
    <n v="4.9000000000000004"/>
    <n v="0.83673469387755084"/>
    <n v="0.4"/>
    <n v="2.2999999999999998"/>
    <n v="2.7"/>
    <n v="5"/>
    <n v="1.6"/>
    <n v="0.5"/>
    <n v="3.6"/>
    <n v="3.4"/>
    <n v="21.8"/>
  </r>
  <r>
    <n v="380"/>
    <x v="37"/>
    <x v="4"/>
    <x v="3"/>
    <x v="4"/>
    <x v="17"/>
    <n v="23"/>
    <n v="34.5"/>
    <n v="7.4"/>
    <n v="18.600000000000001"/>
    <n v="0.39784946236559138"/>
    <n v="3.9"/>
    <n v="11"/>
    <n v="0.35454545454545455"/>
    <n v="3.6"/>
    <n v="7.6"/>
    <n v="76"/>
    <n v="0.47368421052631582"/>
    <n v="2.7"/>
    <n v="3"/>
    <n v="0.9"/>
    <n v="0.9"/>
    <n v="4.2"/>
    <n v="5.0999999999999996"/>
    <n v="3.7"/>
    <n v="1.1000000000000001"/>
    <n v="0.7"/>
    <n v="2.8"/>
    <n v="2.7"/>
    <n v="21.4"/>
  </r>
  <r>
    <n v="390"/>
    <x v="38"/>
    <x v="5"/>
    <x v="22"/>
    <x v="1"/>
    <x v="18"/>
    <n v="20"/>
    <n v="27.7"/>
    <n v="7.1"/>
    <n v="15.7"/>
    <n v="0.45222929936305734"/>
    <n v="1.6"/>
    <n v="4.8"/>
    <n v="0.33333333333333337"/>
    <n v="5.6"/>
    <n v="10.9"/>
    <n v="109"/>
    <n v="0.51376146788990817"/>
    <n v="5.5"/>
    <n v="6.5"/>
    <n v="0.84615384615384615"/>
    <n v="0.7"/>
    <n v="3.8"/>
    <n v="4.4000000000000004"/>
    <n v="7.9"/>
    <n v="1.1000000000000001"/>
    <n v="0.4"/>
    <n v="3.8"/>
    <n v="1.6"/>
    <n v="21.2"/>
  </r>
  <r>
    <n v="400"/>
    <x v="39"/>
    <x v="3"/>
    <x v="1"/>
    <x v="3"/>
    <x v="1"/>
    <n v="34"/>
    <n v="32.4"/>
    <n v="8.3000000000000007"/>
    <n v="17.2"/>
    <n v="0.4825581395348838"/>
    <n v="1.8"/>
    <n v="5.0999999999999996"/>
    <n v="0.35294117647058826"/>
    <n v="6.5"/>
    <n v="12.1"/>
    <n v="121"/>
    <n v="0.53719008264462809"/>
    <n v="2.6"/>
    <n v="3.3"/>
    <n v="0.78787878787878796"/>
    <n v="0.9"/>
    <n v="4.9000000000000004"/>
    <n v="5.8"/>
    <n v="5.0999999999999996"/>
    <n v="1.8"/>
    <n v="0.7"/>
    <n v="2.2000000000000002"/>
    <n v="2.5"/>
    <n v="20.9"/>
  </r>
  <r>
    <n v="410"/>
    <x v="40"/>
    <x v="16"/>
    <x v="8"/>
    <x v="4"/>
    <x v="2"/>
    <n v="30"/>
    <n v="35.1"/>
    <n v="7.7"/>
    <n v="15.7"/>
    <n v="0.49044585987261152"/>
    <n v="0.7"/>
    <n v="2.2000000000000002"/>
    <n v="0.31818181818181812"/>
    <n v="7"/>
    <n v="13.5"/>
    <n v="135"/>
    <n v="0.51851851851851849"/>
    <n v="4.5999999999999996"/>
    <n v="5.4"/>
    <n v="0.85185185185185175"/>
    <n v="0.6"/>
    <n v="3.3"/>
    <n v="3.9"/>
    <n v="3.9"/>
    <n v="1.4"/>
    <n v="0.4"/>
    <n v="1.5"/>
    <n v="2.1"/>
    <n v="20.8"/>
  </r>
  <r>
    <n v="420"/>
    <x v="41"/>
    <x v="10"/>
    <x v="20"/>
    <x v="4"/>
    <x v="3"/>
    <n v="20"/>
    <n v="34.4"/>
    <n v="7"/>
    <n v="15.7"/>
    <n v="0.44585987261146498"/>
    <n v="3.1"/>
    <n v="8.5"/>
    <n v="0.36470588235294121"/>
    <n v="3.9"/>
    <n v="7.1"/>
    <n v="71"/>
    <n v="0.54929577464788737"/>
    <n v="3.5"/>
    <n v="3.9"/>
    <n v="0.89743589743589747"/>
    <n v="0.9"/>
    <n v="3.6"/>
    <n v="4.5"/>
    <n v="2.7"/>
    <n v="1.1000000000000001"/>
    <n v="0.7"/>
    <n v="1.7"/>
    <n v="2.2999999999999998"/>
    <n v="20.6"/>
  </r>
  <r>
    <n v="430"/>
    <x v="42"/>
    <x v="11"/>
    <x v="8"/>
    <x v="2"/>
    <x v="5"/>
    <n v="32"/>
    <n v="35.700000000000003"/>
    <n v="8.1"/>
    <n v="13.7"/>
    <n v="0.59124087591240881"/>
    <n v="1"/>
    <n v="2.4"/>
    <n v="0.41666666666666669"/>
    <n v="7.1"/>
    <n v="11.3"/>
    <n v="113"/>
    <n v="0.62831858407079644"/>
    <n v="3.3"/>
    <n v="4.2"/>
    <n v="0.78571428571428559"/>
    <n v="3.8"/>
    <n v="9.9"/>
    <n v="13.7"/>
    <n v="6.1"/>
    <n v="0.8"/>
    <n v="0.4"/>
    <n v="2.9"/>
    <n v="3.5"/>
    <n v="20.5"/>
  </r>
  <r>
    <n v="440"/>
    <x v="43"/>
    <x v="3"/>
    <x v="18"/>
    <x v="0"/>
    <x v="3"/>
    <n v="22"/>
    <n v="34.299999999999997"/>
    <n v="7.7"/>
    <n v="16.5"/>
    <n v="0.46666666666666667"/>
    <n v="1.6"/>
    <n v="5.6"/>
    <n v="0.28571428571428575"/>
    <n v="6.1"/>
    <n v="11"/>
    <n v="110"/>
    <n v="0.55454545454545456"/>
    <n v="3.3"/>
    <n v="4.5"/>
    <n v="0.73333333333333328"/>
    <n v="1.7"/>
    <n v="6.6"/>
    <n v="8.3000000000000007"/>
    <n v="6.6"/>
    <n v="1.4"/>
    <n v="0.6"/>
    <n v="3.7"/>
    <n v="2.2000000000000002"/>
    <n v="20.399999999999999"/>
  </r>
  <r>
    <n v="450"/>
    <x v="44"/>
    <x v="5"/>
    <x v="19"/>
    <x v="1"/>
    <x v="10"/>
    <n v="33"/>
    <n v="30"/>
    <n v="7.3"/>
    <n v="14.9"/>
    <n v="0.48993288590604023"/>
    <n v="2.9"/>
    <n v="6.8"/>
    <n v="0.4264705882352941"/>
    <n v="4.4000000000000004"/>
    <n v="8.1"/>
    <n v="81"/>
    <n v="0.54320987654320996"/>
    <n v="2.8"/>
    <n v="3.1"/>
    <n v="0.90322580645161277"/>
    <n v="0.5"/>
    <n v="2.1"/>
    <n v="2.6"/>
    <n v="6.8"/>
    <n v="1.2"/>
    <n v="0.2"/>
    <n v="2.2999999999999998"/>
    <n v="2.1"/>
    <n v="20.399999999999999"/>
  </r>
  <r>
    <n v="460"/>
    <x v="45"/>
    <x v="12"/>
    <x v="24"/>
    <x v="2"/>
    <x v="10"/>
    <n v="33"/>
    <n v="32.200000000000003"/>
    <n v="8.1999999999999993"/>
    <n v="14.7"/>
    <n v="0.55782312925170063"/>
    <n v="2.1"/>
    <n v="4.8"/>
    <n v="0.43750000000000006"/>
    <n v="6.1"/>
    <n v="9.9"/>
    <n v="99"/>
    <n v="0.61616161616161613"/>
    <n v="1.8"/>
    <n v="2.2000000000000002"/>
    <n v="0.81818181818181812"/>
    <n v="2.2000000000000002"/>
    <n v="7.9"/>
    <n v="10.1"/>
    <n v="3.3"/>
    <n v="0.8"/>
    <n v="0.7"/>
    <n v="1.6"/>
    <n v="2.2999999999999998"/>
    <n v="20.3"/>
  </r>
  <r>
    <n v="470"/>
    <x v="46"/>
    <x v="0"/>
    <x v="14"/>
    <x v="0"/>
    <x v="10"/>
    <n v="33"/>
    <n v="33.200000000000003"/>
    <n v="6.9"/>
    <n v="14.4"/>
    <n v="0.47916666666666669"/>
    <n v="1.8"/>
    <n v="4.9000000000000004"/>
    <n v="0.36734693877551017"/>
    <n v="5"/>
    <n v="9.5"/>
    <n v="95"/>
    <n v="0.52631578947368418"/>
    <n v="4.5"/>
    <n v="5.5"/>
    <n v="0.81818181818181823"/>
    <n v="1.9"/>
    <n v="5.0999999999999996"/>
    <n v="7"/>
    <n v="4.5"/>
    <n v="0.7"/>
    <n v="0.2"/>
    <n v="3"/>
    <n v="2.4"/>
    <n v="20.2"/>
  </r>
  <r>
    <n v="480"/>
    <x v="47"/>
    <x v="7"/>
    <x v="21"/>
    <x v="4"/>
    <x v="19"/>
    <n v="2"/>
    <n v="27.8"/>
    <n v="6.5"/>
    <n v="13.3"/>
    <n v="0.48872180451127817"/>
    <n v="2.7"/>
    <n v="6.1"/>
    <n v="0.44262295081967218"/>
    <n v="3.8"/>
    <n v="7.3"/>
    <n v="73"/>
    <n v="0.52054794520547942"/>
    <n v="4.3"/>
    <n v="5"/>
    <n v="0.86"/>
    <n v="0.7"/>
    <n v="3.4"/>
    <n v="4"/>
    <n v="1.4"/>
    <n v="0.9"/>
    <n v="0.1"/>
    <n v="1.3"/>
    <n v="2.2999999999999998"/>
    <n v="19.899999999999999"/>
  </r>
  <r>
    <n v="500"/>
    <x v="48"/>
    <x v="0"/>
    <x v="26"/>
    <x v="0"/>
    <x v="6"/>
    <n v="35"/>
    <n v="33.700000000000003"/>
    <n v="7.5"/>
    <n v="14.4"/>
    <n v="0.52083333333333337"/>
    <n v="1.9"/>
    <n v="4.4000000000000004"/>
    <n v="0.43181818181818177"/>
    <n v="5.6"/>
    <n v="10"/>
    <n v="100"/>
    <n v="0.55999999999999994"/>
    <n v="2.8"/>
    <n v="3.7"/>
    <n v="0.75675675675675669"/>
    <n v="1.7"/>
    <n v="5.6"/>
    <n v="7.3"/>
    <n v="3.4"/>
    <n v="0.9"/>
    <n v="0.3"/>
    <n v="1.3"/>
    <n v="2.9"/>
    <n v="19.8"/>
  </r>
  <r>
    <n v="490"/>
    <x v="49"/>
    <x v="3"/>
    <x v="21"/>
    <x v="4"/>
    <x v="5"/>
    <n v="32"/>
    <n v="36.299999999999997"/>
    <n v="7.9"/>
    <n v="15.4"/>
    <n v="0.51298701298701299"/>
    <n v="1.4"/>
    <n v="4.2"/>
    <n v="0.33333333333333331"/>
    <n v="6.5"/>
    <n v="11.3"/>
    <n v="113"/>
    <n v="0.5752212389380531"/>
    <n v="2.7"/>
    <n v="3.5"/>
    <n v="0.77142857142857146"/>
    <n v="1.8"/>
    <n v="8.3000000000000007"/>
    <n v="10.1"/>
    <n v="5.3"/>
    <n v="1.5"/>
    <n v="1.1000000000000001"/>
    <n v="3"/>
    <n v="2"/>
    <n v="19.8"/>
  </r>
  <r>
    <n v="510"/>
    <x v="50"/>
    <x v="4"/>
    <x v="27"/>
    <x v="3"/>
    <x v="1"/>
    <n v="34"/>
    <n v="32.700000000000003"/>
    <n v="6.9"/>
    <n v="16.7"/>
    <n v="0.41317365269461082"/>
    <n v="2.5"/>
    <n v="7.7"/>
    <n v="0.32467532467532467"/>
    <n v="4.4000000000000004"/>
    <n v="9"/>
    <n v="90"/>
    <n v="0.48888888888888893"/>
    <n v="3.4"/>
    <n v="4"/>
    <n v="0.85"/>
    <n v="0.5"/>
    <n v="3.9"/>
    <n v="4.4000000000000004"/>
    <n v="2.5"/>
    <n v="1"/>
    <n v="0.3"/>
    <n v="2.4"/>
    <n v="1.7"/>
    <n v="19.600000000000001"/>
  </r>
  <r>
    <n v="520"/>
    <x v="51"/>
    <x v="7"/>
    <x v="2"/>
    <x v="1"/>
    <x v="9"/>
    <n v="27"/>
    <n v="36.700000000000003"/>
    <n v="7"/>
    <n v="16.100000000000001"/>
    <n v="0.43478260869565216"/>
    <n v="2.1"/>
    <n v="5.9"/>
    <n v="0.3559322033898305"/>
    <n v="4.9000000000000004"/>
    <n v="10.3"/>
    <n v="103"/>
    <n v="0.47572815533980584"/>
    <n v="3.4"/>
    <n v="4"/>
    <n v="0.85"/>
    <n v="0.5"/>
    <n v="3.6"/>
    <n v="4.0999999999999996"/>
    <n v="6.3"/>
    <n v="1.5"/>
    <n v="0.7"/>
    <n v="2.2999999999999998"/>
    <n v="1.7"/>
    <n v="19.600000000000001"/>
  </r>
  <r>
    <n v="540"/>
    <x v="52"/>
    <x v="7"/>
    <x v="28"/>
    <x v="0"/>
    <x v="9"/>
    <n v="27"/>
    <n v="32"/>
    <n v="6.1"/>
    <n v="14.1"/>
    <n v="0.43262411347517726"/>
    <n v="2.8"/>
    <n v="7.9"/>
    <n v="0.35443037974683539"/>
    <n v="3.3"/>
    <n v="6.3"/>
    <n v="63"/>
    <n v="0.52380952380952384"/>
    <n v="4.5"/>
    <n v="5.0999999999999996"/>
    <n v="0.88235294117647067"/>
    <n v="1.8"/>
    <n v="4.5999999999999996"/>
    <n v="6.4"/>
    <n v="1.9"/>
    <n v="0.8"/>
    <n v="0.3"/>
    <n v="1.5"/>
    <n v="1.6"/>
    <n v="19.5"/>
  </r>
  <r>
    <n v="530"/>
    <x v="53"/>
    <x v="11"/>
    <x v="13"/>
    <x v="0"/>
    <x v="5"/>
    <n v="32"/>
    <n v="32.6"/>
    <n v="6.4"/>
    <n v="12.8"/>
    <n v="0.5"/>
    <n v="3.3"/>
    <n v="7.5"/>
    <n v="0.44"/>
    <n v="3.1"/>
    <n v="5.3"/>
    <n v="53"/>
    <n v="0.58490566037735847"/>
    <n v="3.5"/>
    <n v="3.9"/>
    <n v="0.89743589743589747"/>
    <n v="0.8"/>
    <n v="3.5"/>
    <n v="4.3"/>
    <n v="3"/>
    <n v="0.9"/>
    <n v="0.4"/>
    <n v="1.7"/>
    <n v="1.8"/>
    <n v="19.5"/>
  </r>
  <r>
    <n v="570"/>
    <x v="54"/>
    <x v="4"/>
    <x v="27"/>
    <x v="2"/>
    <x v="1"/>
    <n v="34"/>
    <n v="31.4"/>
    <n v="7.5"/>
    <n v="15.2"/>
    <n v="0.49342105263157898"/>
    <n v="0.3"/>
    <n v="1.5"/>
    <n v="0.19999999999999998"/>
    <n v="7.1"/>
    <n v="13.8"/>
    <n v="138"/>
    <n v="0.51449275362318836"/>
    <n v="3.6"/>
    <n v="4.8"/>
    <n v="0.75"/>
    <n v="3.4"/>
    <n v="7.2"/>
    <n v="10.6"/>
    <n v="5"/>
    <n v="1.3"/>
    <n v="0.9"/>
    <n v="2.5"/>
    <n v="2.8"/>
    <n v="18.899999999999999"/>
  </r>
  <r>
    <n v="560"/>
    <x v="55"/>
    <x v="1"/>
    <x v="2"/>
    <x v="4"/>
    <x v="10"/>
    <n v="33"/>
    <n v="34.299999999999997"/>
    <n v="7.2"/>
    <n v="13.8"/>
    <n v="0.52173913043478259"/>
    <n v="2.6"/>
    <n v="6.2"/>
    <n v="0.41935483870967744"/>
    <n v="4.5999999999999996"/>
    <n v="7.6"/>
    <n v="76"/>
    <n v="0.60526315789473684"/>
    <n v="1.8"/>
    <n v="2.5"/>
    <n v="0.72"/>
    <n v="1.5"/>
    <n v="4.9000000000000004"/>
    <n v="6.4"/>
    <n v="2.6"/>
    <n v="0.7"/>
    <n v="0.4"/>
    <n v="1.4"/>
    <n v="2.1"/>
    <n v="18.899999999999999"/>
  </r>
  <r>
    <n v="550"/>
    <x v="56"/>
    <x v="3"/>
    <x v="19"/>
    <x v="0"/>
    <x v="5"/>
    <n v="32"/>
    <n v="30.2"/>
    <n v="7.3"/>
    <n v="12.7"/>
    <n v="0.57480314960629919"/>
    <n v="1.2"/>
    <n v="2.7"/>
    <n v="0.44444444444444442"/>
    <n v="6.2"/>
    <n v="10.1"/>
    <n v="101"/>
    <n v="0.61386138613861385"/>
    <n v="3.1"/>
    <n v="4"/>
    <n v="0.77500000000000002"/>
    <n v="2.1"/>
    <n v="6.7"/>
    <n v="8.8000000000000007"/>
    <n v="2.9"/>
    <n v="1"/>
    <n v="1.5"/>
    <n v="2.1"/>
    <n v="2.2000000000000002"/>
    <n v="18.899999999999999"/>
  </r>
  <r>
    <n v="580"/>
    <x v="57"/>
    <x v="11"/>
    <x v="12"/>
    <x v="4"/>
    <x v="6"/>
    <n v="35"/>
    <n v="39.299999999999997"/>
    <n v="7.6"/>
    <n v="15"/>
    <n v="0.5066666666666666"/>
    <n v="2.5"/>
    <n v="6.8"/>
    <n v="0.36764705882352944"/>
    <n v="5.2"/>
    <n v="8.1999999999999993"/>
    <n v="82"/>
    <n v="0.63414634146341475"/>
    <n v="0.7"/>
    <n v="1.1000000000000001"/>
    <n v="0.63636363636363624"/>
    <n v="0.9"/>
    <n v="2.4"/>
    <n v="3.3"/>
    <n v="3.3"/>
    <n v="1.2"/>
    <n v="0.5"/>
    <n v="1.6"/>
    <n v="1.4"/>
    <n v="18.5"/>
  </r>
  <r>
    <n v="590"/>
    <x v="58"/>
    <x v="1"/>
    <x v="10"/>
    <x v="3"/>
    <x v="7"/>
    <n v="29"/>
    <n v="34.700000000000003"/>
    <n v="6.2"/>
    <n v="14"/>
    <n v="0.44285714285714289"/>
    <n v="2.6"/>
    <n v="7.2"/>
    <n v="0.3611111111111111"/>
    <n v="3.6"/>
    <n v="6.8"/>
    <n v="68"/>
    <n v="0.52941176470588236"/>
    <n v="3.3"/>
    <n v="4.0999999999999996"/>
    <n v="0.80487804878048785"/>
    <n v="1"/>
    <n v="3.6"/>
    <n v="4.5999999999999996"/>
    <n v="5.9"/>
    <n v="1"/>
    <n v="0.1"/>
    <n v="2.6"/>
    <n v="2.1"/>
    <n v="18.3"/>
  </r>
  <r>
    <n v="600"/>
    <x v="59"/>
    <x v="9"/>
    <x v="7"/>
    <x v="3"/>
    <x v="3"/>
    <n v="22"/>
    <n v="33.4"/>
    <n v="7.1"/>
    <n v="14.6"/>
    <n v="0.4863013698630137"/>
    <n v="2.2000000000000002"/>
    <n v="5.8"/>
    <n v="0.37931034482758624"/>
    <n v="4.9000000000000004"/>
    <n v="8.8000000000000007"/>
    <n v="88"/>
    <n v="0.55681818181818177"/>
    <n v="1.7"/>
    <n v="2.2999999999999998"/>
    <n v="0.73913043478260876"/>
    <n v="0.7"/>
    <n v="3"/>
    <n v="3.7"/>
    <n v="3.1"/>
    <n v="1.2"/>
    <n v="0.7"/>
    <n v="2.2000000000000002"/>
    <n v="2.7"/>
    <n v="18.2"/>
  </r>
  <r>
    <n v="620"/>
    <x v="60"/>
    <x v="10"/>
    <x v="26"/>
    <x v="1"/>
    <x v="6"/>
    <n v="35"/>
    <n v="35.299999999999997"/>
    <n v="6.2"/>
    <n v="14.2"/>
    <n v="0.43661971830985918"/>
    <n v="2.9"/>
    <n v="8.4"/>
    <n v="0.34523809523809523"/>
    <n v="3.3"/>
    <n v="5.8"/>
    <n v="58"/>
    <n v="0.56896551724137934"/>
    <n v="2.7"/>
    <n v="3.2"/>
    <n v="0.84375"/>
    <n v="0.7"/>
    <n v="3"/>
    <n v="3.7"/>
    <n v="8.8000000000000007"/>
    <n v="1.2"/>
    <n v="0.6"/>
    <n v="1.8"/>
    <n v="1.4"/>
    <n v="18.100000000000001"/>
  </r>
  <r>
    <n v="610"/>
    <x v="61"/>
    <x v="1"/>
    <x v="3"/>
    <x v="0"/>
    <x v="18"/>
    <n v="20"/>
    <n v="31.1"/>
    <n v="6.4"/>
    <n v="15.4"/>
    <n v="0.41558441558441561"/>
    <n v="2"/>
    <n v="6.9"/>
    <n v="0.28985507246376813"/>
    <n v="4.5"/>
    <n v="8.6"/>
    <n v="86"/>
    <n v="0.52325581395348841"/>
    <n v="3.3"/>
    <n v="3.8"/>
    <n v="0.86842105263157898"/>
    <n v="0.9"/>
    <n v="6.9"/>
    <n v="7.8"/>
    <n v="3.7"/>
    <n v="0.7"/>
    <n v="0.7"/>
    <n v="2.1"/>
    <n v="1.4"/>
    <n v="18.100000000000001"/>
  </r>
  <r>
    <n v="630"/>
    <x v="62"/>
    <x v="8"/>
    <x v="29"/>
    <x v="3"/>
    <x v="8"/>
    <n v="23"/>
    <n v="31.1"/>
    <n v="6.6"/>
    <n v="14.7"/>
    <n v="0.44897959183673469"/>
    <n v="1.8"/>
    <n v="6.2"/>
    <n v="0.29032258064516131"/>
    <n v="4.8"/>
    <n v="8.5"/>
    <n v="85"/>
    <n v="0.56470588235294117"/>
    <n v="2.8"/>
    <n v="3.5"/>
    <n v="0.79999999999999993"/>
    <n v="0.6"/>
    <n v="2.9"/>
    <n v="3.6"/>
    <n v="2.4"/>
    <n v="0.8"/>
    <n v="0.2"/>
    <n v="1.7"/>
    <n v="1.8"/>
    <n v="17.899999999999999"/>
  </r>
  <r>
    <n v="640"/>
    <x v="63"/>
    <x v="10"/>
    <x v="24"/>
    <x v="3"/>
    <x v="5"/>
    <n v="32"/>
    <n v="32.799999999999997"/>
    <n v="6"/>
    <n v="14.3"/>
    <n v="0.41958041958041958"/>
    <n v="3"/>
    <n v="8.4"/>
    <n v="0.35714285714285715"/>
    <n v="3.1"/>
    <n v="5.9"/>
    <n v="59"/>
    <n v="0.52542372881355925"/>
    <n v="2.9"/>
    <n v="3.3"/>
    <n v="0.87878787878787878"/>
    <n v="0.4"/>
    <n v="3.2"/>
    <n v="3.5"/>
    <n v="4.7"/>
    <n v="1.1000000000000001"/>
    <n v="0.2"/>
    <n v="2.4"/>
    <n v="2.5"/>
    <n v="17.899999999999999"/>
  </r>
  <r>
    <n v="650"/>
    <x v="64"/>
    <x v="7"/>
    <x v="28"/>
    <x v="0"/>
    <x v="0"/>
    <n v="17"/>
    <n v="30"/>
    <n v="6.5"/>
    <n v="12.3"/>
    <n v="0.52845528455284552"/>
    <n v="1.4"/>
    <n v="3.3"/>
    <n v="0.42424242424242425"/>
    <n v="5.0999999999999996"/>
    <n v="9.1"/>
    <n v="91"/>
    <n v="0.56043956043956045"/>
    <n v="3.4"/>
    <n v="3.9"/>
    <n v="0.87179487179487181"/>
    <n v="2.2000000000000002"/>
    <n v="6"/>
    <n v="8.1999999999999993"/>
    <n v="2.5"/>
    <n v="1.1000000000000001"/>
    <n v="0.8"/>
    <n v="2.6"/>
    <n v="2.9"/>
    <n v="17.7"/>
  </r>
  <r>
    <n v="670"/>
    <x v="65"/>
    <x v="1"/>
    <x v="28"/>
    <x v="3"/>
    <x v="5"/>
    <n v="30"/>
    <n v="28.5"/>
    <n v="6.4"/>
    <n v="12.9"/>
    <n v="0.49612403100775193"/>
    <n v="2"/>
    <n v="4.5"/>
    <n v="0.44444444444444442"/>
    <n v="4.4000000000000004"/>
    <n v="8.4"/>
    <n v="84"/>
    <n v="0.52380952380952384"/>
    <n v="2.9"/>
    <n v="3.3"/>
    <n v="0.87878787878787878"/>
    <n v="0.9"/>
    <n v="1.8"/>
    <n v="2.7"/>
    <n v="3.8"/>
    <n v="0.8"/>
    <n v="0.1"/>
    <n v="2.6"/>
    <n v="2.2999999999999998"/>
    <n v="17.7"/>
  </r>
  <r>
    <n v="680"/>
    <x v="66"/>
    <x v="5"/>
    <x v="29"/>
    <x v="3"/>
    <x v="2"/>
    <n v="30"/>
    <n v="31.4"/>
    <n v="6.3"/>
    <n v="15.1"/>
    <n v="0.41721854304635764"/>
    <n v="2.6"/>
    <n v="7.8"/>
    <n v="0.33333333333333337"/>
    <n v="3.7"/>
    <n v="7.3"/>
    <n v="73"/>
    <n v="0.50684931506849318"/>
    <n v="2.5"/>
    <n v="2.8"/>
    <n v="0.8928571428571429"/>
    <n v="0.3"/>
    <n v="2.4"/>
    <n v="2.7"/>
    <n v="4.9000000000000004"/>
    <n v="1"/>
    <n v="0.1"/>
    <n v="2.4"/>
    <n v="2"/>
    <n v="17.7"/>
  </r>
  <r>
    <n v="660"/>
    <x v="67"/>
    <x v="2"/>
    <x v="5"/>
    <x v="2"/>
    <x v="13"/>
    <n v="12"/>
    <n v="27.3"/>
    <n v="5.8"/>
    <n v="13"/>
    <n v="0.44615384615384612"/>
    <n v="2"/>
    <n v="5.8"/>
    <n v="0.34482758620689657"/>
    <n v="3.8"/>
    <n v="7.2"/>
    <n v="72"/>
    <n v="0.52777777777777779"/>
    <n v="4"/>
    <n v="4.8"/>
    <n v="0.83333333333333337"/>
    <n v="1.3"/>
    <n v="4.9000000000000004"/>
    <n v="6.3"/>
    <n v="1.7"/>
    <n v="0.7"/>
    <n v="1.5"/>
    <n v="0.8"/>
    <n v="2.2999999999999998"/>
    <n v="17.7"/>
  </r>
  <r>
    <n v="690"/>
    <x v="68"/>
    <x v="16"/>
    <x v="15"/>
    <x v="0"/>
    <x v="3"/>
    <n v="22"/>
    <n v="30.8"/>
    <n v="5.8"/>
    <n v="10.5"/>
    <n v="0.55238095238095242"/>
    <n v="0.5"/>
    <n v="1.5"/>
    <n v="0.33333333333333331"/>
    <n v="5.3"/>
    <n v="9.1"/>
    <n v="91"/>
    <n v="0.58241758241758246"/>
    <n v="5.4"/>
    <n v="6.9"/>
    <n v="0.78260869565217395"/>
    <n v="2.2999999999999998"/>
    <n v="3.2"/>
    <n v="5.5"/>
    <n v="4.7"/>
    <n v="1.2"/>
    <n v="0.4"/>
    <n v="1.2"/>
    <n v="1"/>
    <n v="17.600000000000001"/>
  </r>
  <r>
    <n v="700"/>
    <x v="69"/>
    <x v="4"/>
    <x v="17"/>
    <x v="3"/>
    <x v="2"/>
    <n v="30"/>
    <n v="29.9"/>
    <n v="6.3"/>
    <n v="13.8"/>
    <n v="0.45652173913043476"/>
    <n v="2.1"/>
    <n v="5.0999999999999996"/>
    <n v="0.41176470588235298"/>
    <n v="4.2"/>
    <n v="8.6"/>
    <n v="86"/>
    <n v="0.48837209302325585"/>
    <n v="2.8"/>
    <n v="3.9"/>
    <n v="0.71794871794871795"/>
    <n v="1.3"/>
    <n v="2.8"/>
    <n v="4.0999999999999996"/>
    <n v="4"/>
    <n v="0.9"/>
    <n v="0.4"/>
    <n v="3"/>
    <n v="2.2000000000000002"/>
    <n v="17.600000000000001"/>
  </r>
  <r>
    <n v="710"/>
    <x v="70"/>
    <x v="8"/>
    <x v="18"/>
    <x v="3"/>
    <x v="7"/>
    <n v="29"/>
    <n v="31.8"/>
    <n v="5.9"/>
    <n v="14.3"/>
    <n v="0.41258741258741261"/>
    <n v="2.4"/>
    <n v="7"/>
    <n v="0.34285714285714286"/>
    <n v="3.5"/>
    <n v="7.3"/>
    <n v="73"/>
    <n v="0.47945205479452058"/>
    <n v="3.1"/>
    <n v="3.5"/>
    <n v="0.88571428571428579"/>
    <n v="0.8"/>
    <n v="2.7"/>
    <n v="3.6"/>
    <n v="2.1"/>
    <n v="1"/>
    <n v="0.2"/>
    <n v="1.8"/>
    <n v="2.4"/>
    <n v="17.399999999999999"/>
  </r>
  <r>
    <n v="720"/>
    <x v="71"/>
    <x v="0"/>
    <x v="5"/>
    <x v="3"/>
    <x v="1"/>
    <n v="34"/>
    <n v="34.299999999999997"/>
    <n v="6"/>
    <n v="13.1"/>
    <n v="0.4580152671755725"/>
    <n v="3.6"/>
    <n v="9.1"/>
    <n v="0.39560439560439564"/>
    <n v="2.4"/>
    <n v="4"/>
    <n v="40"/>
    <n v="0.6"/>
    <n v="1.7"/>
    <n v="2.1"/>
    <n v="0.80952380952380942"/>
    <n v="1"/>
    <n v="3.6"/>
    <n v="4.5"/>
    <n v="4.4000000000000004"/>
    <n v="0.9"/>
    <n v="1.2"/>
    <n v="1.7"/>
    <n v="2.1"/>
    <n v="17.3"/>
  </r>
  <r>
    <n v="730"/>
    <x v="72"/>
    <x v="4"/>
    <x v="23"/>
    <x v="0"/>
    <x v="14"/>
    <n v="10"/>
    <n v="26.4"/>
    <n v="6.1"/>
    <n v="13.5"/>
    <n v="0.45185185185185184"/>
    <n v="1.2"/>
    <n v="3.6"/>
    <n v="0.33333333333333331"/>
    <n v="4.9000000000000004"/>
    <n v="9.8000000000000007"/>
    <n v="98"/>
    <n v="0.5"/>
    <n v="3.4"/>
    <n v="5.3"/>
    <n v="0.64150943396226412"/>
    <n v="1.4"/>
    <n v="3.6"/>
    <n v="5.0999999999999996"/>
    <n v="2.2000000000000002"/>
    <n v="0.9"/>
    <n v="0.6"/>
    <n v="1.5"/>
    <n v="2"/>
    <n v="16.899999999999999"/>
  </r>
  <r>
    <n v="740"/>
    <x v="73"/>
    <x v="13"/>
    <x v="28"/>
    <x v="3"/>
    <x v="20"/>
    <n v="3"/>
    <n v="26.7"/>
    <n v="5.6"/>
    <n v="13.6"/>
    <n v="0.41176470588235292"/>
    <n v="2"/>
    <n v="5.7"/>
    <n v="0.35087719298245612"/>
    <n v="3.7"/>
    <n v="7.9"/>
    <n v="79"/>
    <n v="0.46835443037974683"/>
    <n v="3.5"/>
    <n v="4.3"/>
    <n v="0.81395348837209303"/>
    <n v="0.7"/>
    <n v="2.9"/>
    <n v="3.5"/>
    <n v="4"/>
    <n v="0.9"/>
    <n v="0.3"/>
    <n v="2.6"/>
    <n v="1.6"/>
    <n v="16.7"/>
  </r>
  <r>
    <n v="750"/>
    <x v="74"/>
    <x v="4"/>
    <x v="26"/>
    <x v="3"/>
    <x v="6"/>
    <n v="30"/>
    <n v="32.9"/>
    <n v="5.7"/>
    <n v="12.4"/>
    <n v="0.45967741935483869"/>
    <n v="1.5"/>
    <n v="4"/>
    <n v="0.375"/>
    <n v="4.3"/>
    <n v="8.4"/>
    <n v="84"/>
    <n v="0.51190476190476186"/>
    <n v="3.8"/>
    <n v="4.5999999999999996"/>
    <n v="0.82608695652173914"/>
    <n v="1.3"/>
    <n v="4.8"/>
    <n v="6.1"/>
    <n v="1.8"/>
    <n v="0.7"/>
    <n v="0.4"/>
    <n v="2.1"/>
    <n v="2.6"/>
    <n v="16.7"/>
  </r>
  <r>
    <n v="760"/>
    <x v="75"/>
    <x v="7"/>
    <x v="12"/>
    <x v="0"/>
    <x v="6"/>
    <n v="35"/>
    <n v="36.6"/>
    <n v="6.3"/>
    <n v="13.2"/>
    <n v="0.47727272727272729"/>
    <n v="2.1"/>
    <n v="6"/>
    <n v="0.35000000000000003"/>
    <n v="4.2"/>
    <n v="7.2"/>
    <n v="72"/>
    <n v="0.58333333333333337"/>
    <n v="1.9"/>
    <n v="2.4"/>
    <n v="0.79166666666666663"/>
    <n v="1.2"/>
    <n v="3.8"/>
    <n v="4.9000000000000004"/>
    <n v="2"/>
    <n v="1.5"/>
    <n v="1"/>
    <n v="1.3"/>
    <n v="2.5"/>
    <n v="16.600000000000001"/>
  </r>
  <r>
    <n v="790"/>
    <x v="76"/>
    <x v="1"/>
    <x v="8"/>
    <x v="3"/>
    <x v="12"/>
    <n v="15"/>
    <n v="30.3"/>
    <n v="5.8"/>
    <n v="13.3"/>
    <n v="0.43609022556390975"/>
    <n v="2.4"/>
    <n v="6.9"/>
    <n v="0.34782608695652173"/>
    <n v="3.4"/>
    <n v="6.4"/>
    <n v="64"/>
    <n v="0.53125"/>
    <n v="2.4"/>
    <n v="2.8"/>
    <n v="0.85714285714285721"/>
    <n v="0.3"/>
    <n v="3.4"/>
    <n v="3.6"/>
    <n v="4.9000000000000004"/>
    <n v="0.8"/>
    <n v="0.5"/>
    <n v="1.9"/>
    <n v="2.4"/>
    <n v="16.5"/>
  </r>
  <r>
    <n v="770"/>
    <x v="77"/>
    <x v="7"/>
    <x v="15"/>
    <x v="2"/>
    <x v="5"/>
    <n v="32"/>
    <n v="34.5"/>
    <n v="6.3"/>
    <n v="13.7"/>
    <n v="0.45985401459854014"/>
    <n v="0.7"/>
    <n v="2.6"/>
    <n v="0.26923076923076922"/>
    <n v="5.6"/>
    <n v="11.1"/>
    <n v="111"/>
    <n v="0.50450450450450446"/>
    <n v="3.1"/>
    <n v="4.3"/>
    <n v="0.72093023255813959"/>
    <n v="2.4"/>
    <n v="7.4"/>
    <n v="9.8000000000000007"/>
    <n v="4.8"/>
    <n v="1.4"/>
    <n v="0.8"/>
    <n v="2.2000000000000002"/>
    <n v="2.1"/>
    <n v="16.5"/>
  </r>
  <r>
    <n v="780"/>
    <x v="78"/>
    <x v="1"/>
    <x v="22"/>
    <x v="3"/>
    <x v="9"/>
    <n v="26"/>
    <n v="28.8"/>
    <n v="6.1"/>
    <n v="13"/>
    <n v="0.46923076923076923"/>
    <n v="2"/>
    <n v="5.8"/>
    <n v="0.34482758620689657"/>
    <n v="4"/>
    <n v="7.2"/>
    <n v="72"/>
    <n v="0.55555555555555558"/>
    <n v="2.2999999999999998"/>
    <n v="2.7"/>
    <n v="0.85185185185185175"/>
    <n v="0.9"/>
    <n v="5.0999999999999996"/>
    <n v="6"/>
    <n v="5"/>
    <n v="1.1000000000000001"/>
    <n v="0.5"/>
    <n v="2.4"/>
    <n v="2.6"/>
    <n v="16.5"/>
  </r>
  <r>
    <n v="810"/>
    <x v="79"/>
    <x v="3"/>
    <x v="4"/>
    <x v="1"/>
    <x v="1"/>
    <n v="34"/>
    <n v="29"/>
    <n v="5.7"/>
    <n v="13.9"/>
    <n v="0.41007194244604317"/>
    <n v="2.2000000000000002"/>
    <n v="7"/>
    <n v="0.31428571428571433"/>
    <n v="3.5"/>
    <n v="6.9"/>
    <n v="69"/>
    <n v="0.50724637681159412"/>
    <n v="2.9"/>
    <n v="3.1"/>
    <n v="0.93548387096774188"/>
    <n v="0.7"/>
    <n v="3.4"/>
    <n v="4.0999999999999996"/>
    <n v="3.7"/>
    <n v="1.5"/>
    <n v="1"/>
    <n v="2.9"/>
    <n v="2.7"/>
    <n v="16.399999999999999"/>
  </r>
  <r>
    <n v="800"/>
    <x v="80"/>
    <x v="4"/>
    <x v="1"/>
    <x v="2"/>
    <x v="21"/>
    <n v="10"/>
    <n v="26.5"/>
    <n v="5.6"/>
    <n v="11.1"/>
    <n v="0.50450450450450446"/>
    <n v="1.4"/>
    <n v="3.7"/>
    <n v="0.37837837837837834"/>
    <n v="4.2"/>
    <n v="7.4"/>
    <n v="74"/>
    <n v="0.56756756756756754"/>
    <n v="3.8"/>
    <n v="4.9000000000000004"/>
    <n v="0.77551020408163251"/>
    <n v="1.6"/>
    <n v="7.1"/>
    <n v="8.6999999999999993"/>
    <n v="2"/>
    <n v="0.8"/>
    <n v="2.6"/>
    <n v="2.2999999999999998"/>
    <n v="1.8"/>
    <n v="16.399999999999999"/>
  </r>
  <r>
    <n v="820"/>
    <x v="81"/>
    <x v="2"/>
    <x v="23"/>
    <x v="4"/>
    <x v="7"/>
    <n v="29"/>
    <n v="29"/>
    <n v="5.8"/>
    <n v="12.8"/>
    <n v="0.45312499999999994"/>
    <n v="2.1"/>
    <n v="5.3"/>
    <n v="0.39622641509433965"/>
    <n v="3.6"/>
    <n v="7.5"/>
    <n v="75"/>
    <n v="0.48000000000000004"/>
    <n v="2.7"/>
    <n v="3.4"/>
    <n v="0.79411764705882359"/>
    <n v="1.6"/>
    <n v="2.9"/>
    <n v="4.4000000000000004"/>
    <n v="2.4"/>
    <n v="0.8"/>
    <n v="0.9"/>
    <n v="1.2"/>
    <n v="1.7"/>
    <n v="16.399999999999999"/>
  </r>
  <r>
    <n v="830"/>
    <x v="82"/>
    <x v="12"/>
    <x v="11"/>
    <x v="0"/>
    <x v="3"/>
    <n v="22"/>
    <n v="31.9"/>
    <n v="5.9"/>
    <n v="13.9"/>
    <n v="0.42446043165467628"/>
    <n v="2.1"/>
    <n v="6.2"/>
    <n v="0.33870967741935487"/>
    <n v="3.8"/>
    <n v="7.7"/>
    <n v="77"/>
    <n v="0.49350649350649345"/>
    <n v="2.5"/>
    <n v="3"/>
    <n v="0.83333333333333337"/>
    <n v="0.8"/>
    <n v="4.7"/>
    <n v="5.5"/>
    <n v="4.5"/>
    <n v="1.8"/>
    <n v="0.5"/>
    <n v="2.7"/>
    <n v="2.5"/>
    <n v="16.3"/>
  </r>
  <r>
    <n v="840"/>
    <x v="83"/>
    <x v="9"/>
    <x v="30"/>
    <x v="1"/>
    <x v="14"/>
    <n v="31"/>
    <n v="32"/>
    <n v="5.6"/>
    <n v="13.2"/>
    <n v="0.42424242424242425"/>
    <n v="2.2000000000000002"/>
    <n v="6.1"/>
    <n v="0.3606557377049181"/>
    <n v="3.4"/>
    <n v="7.1"/>
    <n v="71"/>
    <n v="0.47887323943661975"/>
    <n v="2.8"/>
    <n v="3.2"/>
    <n v="0.87499999999999989"/>
    <n v="0.3"/>
    <n v="2.5"/>
    <n v="2.8"/>
    <n v="6"/>
    <n v="1"/>
    <n v="0.2"/>
    <n v="2.5"/>
    <n v="2.5"/>
    <n v="16.2"/>
  </r>
  <r>
    <n v="850"/>
    <x v="84"/>
    <x v="11"/>
    <x v="17"/>
    <x v="3"/>
    <x v="1"/>
    <n v="8"/>
    <n v="28.1"/>
    <n v="5.6"/>
    <n v="13.4"/>
    <n v="0.41791044776119401"/>
    <n v="3.7"/>
    <n v="9.1999999999999993"/>
    <n v="0.40217391304347833"/>
    <n v="1.9"/>
    <n v="4.0999999999999996"/>
    <n v="41"/>
    <n v="0.46341463414634149"/>
    <n v="1.1000000000000001"/>
    <n v="1.5"/>
    <n v="0.73333333333333339"/>
    <n v="0.6"/>
    <n v="2.5"/>
    <n v="3.1"/>
    <n v="1.9"/>
    <n v="0.8"/>
    <n v="0.1"/>
    <n v="1.1000000000000001"/>
    <n v="1.3"/>
    <n v="16.100000000000001"/>
  </r>
  <r>
    <n v="860"/>
    <x v="85"/>
    <x v="8"/>
    <x v="28"/>
    <x v="1"/>
    <x v="9"/>
    <n v="27"/>
    <n v="31.7"/>
    <n v="5.3"/>
    <n v="13.5"/>
    <n v="0.3925925925925926"/>
    <n v="2.7"/>
    <n v="7.6"/>
    <n v="0.35526315789473689"/>
    <n v="2.7"/>
    <n v="5.9"/>
    <n v="59"/>
    <n v="0.4576271186440678"/>
    <n v="2.5"/>
    <n v="3.1"/>
    <n v="0.80645161290322576"/>
    <n v="0.4"/>
    <n v="2.8"/>
    <n v="3.3"/>
    <n v="5.7"/>
    <n v="0.7"/>
    <n v="0.2"/>
    <n v="3.3"/>
    <n v="1.7"/>
    <n v="15.8"/>
  </r>
  <r>
    <n v="880"/>
    <x v="86"/>
    <x v="5"/>
    <x v="18"/>
    <x v="1"/>
    <x v="4"/>
    <n v="5"/>
    <n v="26.6"/>
    <n v="5.4"/>
    <n v="15"/>
    <n v="0.36000000000000004"/>
    <n v="2"/>
    <n v="6.4"/>
    <n v="0.3125"/>
    <n v="3.4"/>
    <n v="8.6"/>
    <n v="86"/>
    <n v="0.39534883720930231"/>
    <n v="2.8"/>
    <n v="3"/>
    <n v="0.93333333333333324"/>
    <n v="0.2"/>
    <n v="2.6"/>
    <n v="2.8"/>
    <n v="7.6"/>
    <n v="0.4"/>
    <n v="0"/>
    <n v="1.6"/>
    <n v="2.2000000000000002"/>
    <n v="15.6"/>
  </r>
  <r>
    <n v="870"/>
    <x v="87"/>
    <x v="7"/>
    <x v="5"/>
    <x v="1"/>
    <x v="6"/>
    <n v="0"/>
    <n v="28.6"/>
    <n v="5.4"/>
    <n v="11.3"/>
    <n v="0.47787610619469029"/>
    <n v="3.7"/>
    <n v="8.5"/>
    <n v="0.43529411764705883"/>
    <n v="1.7"/>
    <n v="2.7"/>
    <n v="27"/>
    <n v="0.62962962962962954"/>
    <n v="1.2"/>
    <n v="1.4"/>
    <n v="0.85714285714285721"/>
    <n v="1.4"/>
    <n v="2.4"/>
    <n v="3.8"/>
    <n v="3.4"/>
    <n v="0.9"/>
    <n v="0.1"/>
    <n v="1"/>
    <n v="1.7"/>
    <n v="15.6"/>
  </r>
  <r>
    <n v="900"/>
    <x v="88"/>
    <x v="10"/>
    <x v="9"/>
    <x v="3"/>
    <x v="11"/>
    <n v="8"/>
    <n v="28.1"/>
    <n v="5.8"/>
    <n v="12.9"/>
    <n v="0.44961240310077516"/>
    <n v="2.1"/>
    <n v="5.6"/>
    <n v="0.37500000000000006"/>
    <n v="3.7"/>
    <n v="7.3"/>
    <n v="73"/>
    <n v="0.50684931506849318"/>
    <n v="1.8"/>
    <n v="2.4"/>
    <n v="0.75"/>
    <n v="0.7"/>
    <n v="2.5"/>
    <n v="3.2"/>
    <n v="3"/>
    <n v="1.2"/>
    <n v="0.4"/>
    <n v="1.4"/>
    <n v="1.8"/>
    <n v="15.5"/>
  </r>
  <r>
    <n v="890"/>
    <x v="89"/>
    <x v="11"/>
    <x v="20"/>
    <x v="1"/>
    <x v="16"/>
    <n v="18"/>
    <n v="33.6"/>
    <n v="5.8"/>
    <n v="15.8"/>
    <n v="0.36708860759493667"/>
    <n v="1.3"/>
    <n v="5.0999999999999996"/>
    <n v="0.25490196078431376"/>
    <n v="4.5"/>
    <n v="10.7"/>
    <n v="107"/>
    <n v="0.42056074766355145"/>
    <n v="2.7"/>
    <n v="3.2"/>
    <n v="0.84375"/>
    <n v="0.4"/>
    <n v="5.9"/>
    <n v="6.4"/>
    <n v="7.7"/>
    <n v="2.4"/>
    <n v="0.5"/>
    <n v="3.9"/>
    <n v="2.2999999999999998"/>
    <n v="15.5"/>
  </r>
  <r>
    <n v="910"/>
    <x v="90"/>
    <x v="2"/>
    <x v="18"/>
    <x v="2"/>
    <x v="2"/>
    <n v="29"/>
    <n v="32"/>
    <n v="6.6"/>
    <n v="10.9"/>
    <n v="0.60550458715596323"/>
    <n v="0"/>
    <n v="0.1"/>
    <n v="0"/>
    <n v="6.6"/>
    <n v="10.8"/>
    <n v="108"/>
    <n v="0.61111111111111105"/>
    <n v="2.2000000000000002"/>
    <n v="3.2"/>
    <n v="0.6875"/>
    <n v="3.8"/>
    <n v="6.9"/>
    <n v="10.7"/>
    <n v="2.6"/>
    <n v="1.2"/>
    <n v="1.3"/>
    <n v="2.1"/>
    <n v="3.5"/>
    <n v="15.4"/>
  </r>
  <r>
    <n v="920"/>
    <x v="91"/>
    <x v="17"/>
    <x v="11"/>
    <x v="3"/>
    <x v="17"/>
    <n v="8"/>
    <n v="25.7"/>
    <n v="5.5"/>
    <n v="11.9"/>
    <n v="0.4621848739495798"/>
    <n v="2.2000000000000002"/>
    <n v="5.8"/>
    <n v="0.37931034482758624"/>
    <n v="3.3"/>
    <n v="6.1"/>
    <n v="61"/>
    <n v="0.54098360655737709"/>
    <n v="2.1"/>
    <n v="2.4"/>
    <n v="0.87500000000000011"/>
    <n v="0.6"/>
    <n v="1.9"/>
    <n v="2.4"/>
    <n v="2.6"/>
    <n v="0.7"/>
    <n v="0"/>
    <n v="1.6"/>
    <n v="1.6"/>
    <n v="15.3"/>
  </r>
  <r>
    <n v="930"/>
    <x v="92"/>
    <x v="11"/>
    <x v="26"/>
    <x v="2"/>
    <x v="10"/>
    <n v="33"/>
    <n v="31.4"/>
    <n v="5.5"/>
    <n v="11.3"/>
    <n v="0.48672566371681414"/>
    <n v="1.9"/>
    <n v="4.9000000000000004"/>
    <n v="0.38775510204081626"/>
    <n v="3.6"/>
    <n v="6.3"/>
    <n v="63"/>
    <n v="0.57142857142857151"/>
    <n v="2.2000000000000002"/>
    <n v="3"/>
    <n v="0.73333333333333339"/>
    <n v="1.4"/>
    <n v="5.7"/>
    <n v="7.1"/>
    <n v="1.6"/>
    <n v="0.8"/>
    <n v="2"/>
    <n v="2.2000000000000002"/>
    <n v="2.9"/>
    <n v="15.1"/>
  </r>
  <r>
    <n v="940"/>
    <x v="93"/>
    <x v="0"/>
    <x v="29"/>
    <x v="0"/>
    <x v="7"/>
    <n v="29"/>
    <n v="32.700000000000003"/>
    <n v="4.9000000000000004"/>
    <n v="12.7"/>
    <n v="0.38582677165354334"/>
    <n v="2.4"/>
    <n v="6.4"/>
    <n v="0.37499999999999994"/>
    <n v="2.4"/>
    <n v="6.3"/>
    <n v="63"/>
    <n v="0.38095238095238093"/>
    <n v="2.8"/>
    <n v="3.4"/>
    <n v="0.82352941176470584"/>
    <n v="0.5"/>
    <n v="3.1"/>
    <n v="3.6"/>
    <n v="2.2999999999999998"/>
    <n v="0.9"/>
    <n v="1"/>
    <n v="1.4"/>
    <n v="2.2999999999999998"/>
    <n v="15"/>
  </r>
  <r>
    <n v="950"/>
    <x v="94"/>
    <x v="7"/>
    <x v="16"/>
    <x v="2"/>
    <x v="1"/>
    <n v="34"/>
    <n v="32.1"/>
    <n v="6.7"/>
    <n v="11.1"/>
    <n v="0.60360360360360366"/>
    <n v="0"/>
    <n v="0"/>
    <n v="0"/>
    <n v="6.7"/>
    <n v="11.1"/>
    <n v="111"/>
    <n v="0.60360360360360366"/>
    <n v="1.5"/>
    <n v="2.9"/>
    <n v="0.51724137931034486"/>
    <n v="3.9"/>
    <n v="8.5"/>
    <n v="12.4"/>
    <n v="2.5"/>
    <n v="0.7"/>
    <n v="1"/>
    <n v="1.8"/>
    <n v="2"/>
    <n v="14.9"/>
  </r>
  <r>
    <n v="960"/>
    <x v="95"/>
    <x v="0"/>
    <x v="27"/>
    <x v="1"/>
    <x v="5"/>
    <n v="32"/>
    <n v="35.200000000000003"/>
    <n v="5.2"/>
    <n v="13.8"/>
    <n v="0.37681159420289856"/>
    <n v="2.5"/>
    <n v="7.7"/>
    <n v="0.32467532467532467"/>
    <n v="2.7"/>
    <n v="6.1"/>
    <n v="61"/>
    <n v="0.44262295081967218"/>
    <n v="2"/>
    <n v="2.4"/>
    <n v="0.83333333333333337"/>
    <n v="0.8"/>
    <n v="3.7"/>
    <n v="4.5"/>
    <n v="5.9"/>
    <n v="1.5"/>
    <n v="0.5"/>
    <n v="1.5"/>
    <n v="2.4"/>
    <n v="14.8"/>
  </r>
  <r>
    <n v="970"/>
    <x v="96"/>
    <x v="2"/>
    <x v="12"/>
    <x v="3"/>
    <x v="1"/>
    <n v="34"/>
    <n v="37.5"/>
    <n v="5.5"/>
    <n v="9.6999999999999993"/>
    <n v="0.56701030927835061"/>
    <n v="1.4"/>
    <n v="3.6"/>
    <n v="0.38888888888888884"/>
    <n v="4.0999999999999996"/>
    <n v="6.1"/>
    <n v="61"/>
    <n v="0.67213114754098358"/>
    <n v="2.1"/>
    <n v="2.7"/>
    <n v="0.77777777777777779"/>
    <n v="1.8"/>
    <n v="6.9"/>
    <n v="8.6999999999999993"/>
    <n v="5.6"/>
    <n v="1.4"/>
    <n v="0.4"/>
    <n v="2"/>
    <n v="2.5"/>
    <n v="14.6"/>
  </r>
  <r>
    <n v="980"/>
    <x v="97"/>
    <x v="2"/>
    <x v="25"/>
    <x v="0"/>
    <x v="22"/>
    <n v="13"/>
    <n v="26.7"/>
    <n v="5.9"/>
    <n v="13.4"/>
    <n v="0.44029850746268656"/>
    <n v="1.1000000000000001"/>
    <n v="4.0999999999999996"/>
    <n v="0.26829268292682934"/>
    <n v="4.9000000000000004"/>
    <n v="9.3000000000000007"/>
    <n v="93"/>
    <n v="0.5268817204301075"/>
    <n v="1.6"/>
    <n v="2.6"/>
    <n v="0.61538461538461542"/>
    <n v="0.7"/>
    <n v="4.7"/>
    <n v="5.4"/>
    <n v="2.1"/>
    <n v="0.5"/>
    <n v="0.2"/>
    <n v="2.2000000000000002"/>
    <n v="1.9"/>
    <n v="14.5"/>
  </r>
  <r>
    <n v="990"/>
    <x v="98"/>
    <x v="13"/>
    <x v="25"/>
    <x v="1"/>
    <x v="23"/>
    <n v="12"/>
    <n v="25.5"/>
    <n v="4.9000000000000004"/>
    <n v="11"/>
    <n v="0.44545454545454549"/>
    <n v="0.9"/>
    <n v="2.7"/>
    <n v="0.33333333333333331"/>
    <n v="4.0999999999999996"/>
    <n v="8.3000000000000007"/>
    <n v="83"/>
    <n v="0.49397590361445776"/>
    <n v="3.6"/>
    <n v="4.0999999999999996"/>
    <n v="0.87804878048780499"/>
    <n v="1"/>
    <n v="3.1"/>
    <n v="4.0999999999999996"/>
    <n v="3.9"/>
    <n v="0.6"/>
    <n v="0.3"/>
    <n v="1.8"/>
    <n v="1.5"/>
    <n v="14.4"/>
  </r>
  <r>
    <n v="1000"/>
    <x v="99"/>
    <x v="1"/>
    <x v="29"/>
    <x v="2"/>
    <x v="19"/>
    <n v="24"/>
    <n v="30.1"/>
    <n v="6.7"/>
    <n v="11.7"/>
    <n v="0.57264957264957272"/>
    <n v="0.3"/>
    <n v="1.1000000000000001"/>
    <n v="0.27272727272727271"/>
    <n v="6.4"/>
    <n v="10.6"/>
    <n v="106"/>
    <n v="0.60377358490566047"/>
    <n v="0.8"/>
    <n v="1.2"/>
    <n v="0.66666666666666674"/>
    <n v="2.9"/>
    <n v="7.1"/>
    <n v="10"/>
    <n v="1.4"/>
    <n v="0.9"/>
    <n v="1"/>
    <n v="1.8"/>
    <n v="2.4"/>
    <n v="14.3"/>
  </r>
  <r>
    <n v="1010"/>
    <x v="100"/>
    <x v="12"/>
    <x v="6"/>
    <x v="4"/>
    <x v="2"/>
    <n v="30"/>
    <n v="27.8"/>
    <n v="5.0999999999999996"/>
    <n v="12.2"/>
    <n v="0.41803278688524592"/>
    <n v="3.1"/>
    <n v="8"/>
    <n v="0.38750000000000001"/>
    <n v="2"/>
    <n v="4.2"/>
    <n v="42"/>
    <n v="0.47619047619047616"/>
    <n v="1"/>
    <n v="1.1000000000000001"/>
    <n v="0.90909090909090906"/>
    <n v="0.6"/>
    <n v="2.9"/>
    <n v="3.5"/>
    <n v="1.9"/>
    <n v="1"/>
    <n v="0.4"/>
    <n v="1.3"/>
    <n v="1.4"/>
    <n v="14.2"/>
  </r>
  <r>
    <n v="1040"/>
    <x v="101"/>
    <x v="2"/>
    <x v="0"/>
    <x v="0"/>
    <x v="14"/>
    <n v="5"/>
    <n v="25.5"/>
    <n v="5.8"/>
    <n v="12.3"/>
    <n v="0.47154471544715443"/>
    <n v="1.4"/>
    <n v="3.6"/>
    <n v="0.38888888888888884"/>
    <n v="4.4000000000000004"/>
    <n v="8.6"/>
    <n v="86"/>
    <n v="0.51162790697674421"/>
    <n v="1.2"/>
    <n v="1.5"/>
    <n v="0.79999999999999993"/>
    <n v="1.8"/>
    <n v="6.2"/>
    <n v="8.1"/>
    <n v="2.2000000000000002"/>
    <n v="0.7"/>
    <n v="0.6"/>
    <n v="1.3"/>
    <n v="1.7"/>
    <n v="14.1"/>
  </r>
  <r>
    <n v="1020"/>
    <x v="102"/>
    <x v="3"/>
    <x v="2"/>
    <x v="3"/>
    <x v="5"/>
    <n v="32"/>
    <n v="34"/>
    <n v="5.4"/>
    <n v="9.6999999999999993"/>
    <n v="0.55670103092783518"/>
    <n v="0.9"/>
    <n v="2.6"/>
    <n v="0.34615384615384615"/>
    <n v="4.4000000000000004"/>
    <n v="7.1"/>
    <n v="71"/>
    <n v="0.61971830985915499"/>
    <n v="2.4"/>
    <n v="3"/>
    <n v="0.79999999999999993"/>
    <n v="1.2"/>
    <n v="3.7"/>
    <n v="4.8"/>
    <n v="2.2000000000000002"/>
    <n v="1.2"/>
    <n v="0.6"/>
    <n v="1.1000000000000001"/>
    <n v="2.2999999999999998"/>
    <n v="14.1"/>
  </r>
  <r>
    <n v="1030"/>
    <x v="103"/>
    <x v="3"/>
    <x v="3"/>
    <x v="1"/>
    <x v="24"/>
    <n v="0"/>
    <n v="24.5"/>
    <n v="5.4"/>
    <n v="12.4"/>
    <n v="0.43548387096774194"/>
    <n v="1.8"/>
    <n v="4.5999999999999996"/>
    <n v="0.39130434782608697"/>
    <n v="3.5"/>
    <n v="7.8"/>
    <n v="78"/>
    <n v="0.44871794871794873"/>
    <n v="1.5"/>
    <n v="1.6"/>
    <n v="0.9375"/>
    <n v="0.9"/>
    <n v="2"/>
    <n v="2.9"/>
    <n v="3"/>
    <n v="0.5"/>
    <n v="0.3"/>
    <n v="1.9"/>
    <n v="1.8"/>
    <n v="14.1"/>
  </r>
  <r>
    <n v="1050"/>
    <x v="104"/>
    <x v="2"/>
    <x v="27"/>
    <x v="4"/>
    <x v="14"/>
    <n v="31"/>
    <n v="32.1"/>
    <n v="5"/>
    <n v="11.9"/>
    <n v="0.42016806722689076"/>
    <n v="2.4"/>
    <n v="6.1"/>
    <n v="0.39344262295081966"/>
    <n v="2.7"/>
    <n v="5.8"/>
    <n v="58"/>
    <n v="0.46551724137931039"/>
    <n v="1.5"/>
    <n v="1.8"/>
    <n v="0.83333333333333326"/>
    <n v="1.3"/>
    <n v="2.7"/>
    <n v="4"/>
    <n v="1.5"/>
    <n v="0.7"/>
    <n v="0.3"/>
    <n v="1.1000000000000001"/>
    <n v="3.4"/>
    <n v="14"/>
  </r>
  <r>
    <n v="1060"/>
    <x v="105"/>
    <x v="8"/>
    <x v="9"/>
    <x v="0"/>
    <x v="18"/>
    <n v="17"/>
    <n v="29.3"/>
    <n v="5.5"/>
    <n v="10.4"/>
    <n v="0.52884615384615385"/>
    <n v="0.5"/>
    <n v="1.7"/>
    <n v="0.29411764705882354"/>
    <n v="5"/>
    <n v="8.6999999999999993"/>
    <n v="87"/>
    <n v="0.57471264367816099"/>
    <n v="2.6"/>
    <n v="3.5"/>
    <n v="0.74285714285714288"/>
    <n v="2.7"/>
    <n v="5.6"/>
    <n v="8.3000000000000007"/>
    <n v="2.8"/>
    <n v="0.9"/>
    <n v="0.7"/>
    <n v="1.9"/>
    <n v="2.5"/>
    <n v="13.9"/>
  </r>
  <r>
    <n v="1070"/>
    <x v="106"/>
    <x v="2"/>
    <x v="2"/>
    <x v="0"/>
    <x v="23"/>
    <n v="16"/>
    <n v="28.8"/>
    <n v="4.8"/>
    <n v="9.1"/>
    <n v="0.52747252747252749"/>
    <n v="1.3"/>
    <n v="2.9"/>
    <n v="0.44827586206896552"/>
    <n v="3.5"/>
    <n v="6.2"/>
    <n v="62"/>
    <n v="0.56451612903225801"/>
    <n v="2.9"/>
    <n v="3.8"/>
    <n v="0.76315789473684215"/>
    <n v="1.9"/>
    <n v="3.9"/>
    <n v="5.8"/>
    <n v="3.1"/>
    <n v="0.5"/>
    <n v="0.2"/>
    <n v="1.4"/>
    <n v="1.8"/>
    <n v="13.7"/>
  </r>
  <r>
    <n v="1090"/>
    <x v="107"/>
    <x v="10"/>
    <x v="29"/>
    <x v="4"/>
    <x v="10"/>
    <n v="15"/>
    <n v="27.1"/>
    <n v="4.5"/>
    <n v="9.8000000000000007"/>
    <n v="0.45918367346938771"/>
    <n v="1.4"/>
    <n v="4"/>
    <n v="0.35"/>
    <n v="3"/>
    <n v="5.8"/>
    <n v="58"/>
    <n v="0.51724137931034486"/>
    <n v="3.2"/>
    <n v="4.0999999999999996"/>
    <n v="0.78048780487804892"/>
    <n v="1.3"/>
    <n v="4.5999999999999996"/>
    <n v="5.9"/>
    <n v="3.2"/>
    <n v="0.9"/>
    <n v="0.7"/>
    <n v="2.2999999999999998"/>
    <n v="2.2000000000000002"/>
    <n v="13.6"/>
  </r>
  <r>
    <n v="1100"/>
    <x v="108"/>
    <x v="15"/>
    <x v="0"/>
    <x v="4"/>
    <x v="25"/>
    <n v="6"/>
    <n v="23.6"/>
    <n v="4.9000000000000004"/>
    <n v="10.7"/>
    <n v="0.45794392523364491"/>
    <n v="1.7"/>
    <n v="4"/>
    <n v="0.42499999999999999"/>
    <n v="3.2"/>
    <n v="6.7"/>
    <n v="67"/>
    <n v="0.47761194029850745"/>
    <n v="2.1"/>
    <n v="2.5"/>
    <n v="0.84000000000000008"/>
    <n v="0.4"/>
    <n v="3.8"/>
    <n v="4.2"/>
    <n v="5.2"/>
    <n v="0.9"/>
    <n v="0.2"/>
    <n v="2.4"/>
    <n v="2.6"/>
    <n v="13.6"/>
  </r>
  <r>
    <n v="1080"/>
    <x v="109"/>
    <x v="1"/>
    <x v="19"/>
    <x v="2"/>
    <x v="1"/>
    <n v="34"/>
    <n v="29"/>
    <n v="5.6"/>
    <n v="8.1"/>
    <n v="0.69135802469135799"/>
    <n v="0"/>
    <n v="0"/>
    <n v="0"/>
    <n v="5.6"/>
    <n v="8.1"/>
    <n v="81"/>
    <n v="0.69135802469135799"/>
    <n v="2.4"/>
    <n v="3.3"/>
    <n v="0.72727272727272729"/>
    <n v="2.2999999999999998"/>
    <n v="7.7"/>
    <n v="10.1"/>
    <n v="1.8"/>
    <n v="1"/>
    <n v="0.9"/>
    <n v="1.1000000000000001"/>
    <n v="1.4"/>
    <n v="13.6"/>
  </r>
  <r>
    <n v="1110"/>
    <x v="110"/>
    <x v="13"/>
    <x v="17"/>
    <x v="0"/>
    <x v="5"/>
    <n v="32"/>
    <n v="31.8"/>
    <n v="5"/>
    <n v="11.2"/>
    <n v="0.44642857142857145"/>
    <n v="1.4"/>
    <n v="4.2"/>
    <n v="0.33333333333333331"/>
    <n v="3.5"/>
    <n v="7"/>
    <n v="70"/>
    <n v="0.5"/>
    <n v="1.8"/>
    <n v="2.2000000000000002"/>
    <n v="0.81818181818181812"/>
    <n v="1.1000000000000001"/>
    <n v="5.4"/>
    <n v="6.5"/>
    <n v="2.2999999999999998"/>
    <n v="0.8"/>
    <n v="0.9"/>
    <n v="1.1000000000000001"/>
    <n v="2"/>
    <n v="13.2"/>
  </r>
  <r>
    <n v="1120"/>
    <x v="111"/>
    <x v="10"/>
    <x v="22"/>
    <x v="0"/>
    <x v="14"/>
    <n v="11"/>
    <n v="25.7"/>
    <n v="5.0999999999999996"/>
    <n v="10"/>
    <n v="0.51"/>
    <n v="1.7"/>
    <n v="4.5"/>
    <n v="0.37777777777777777"/>
    <n v="3.4"/>
    <n v="5.5"/>
    <n v="55"/>
    <n v="0.61818181818181817"/>
    <n v="1.1000000000000001"/>
    <n v="1.4"/>
    <n v="0.78571428571428581"/>
    <n v="1.5"/>
    <n v="5.7"/>
    <n v="7.3"/>
    <n v="3"/>
    <n v="0.9"/>
    <n v="0.5"/>
    <n v="1.2"/>
    <n v="1"/>
    <n v="13"/>
  </r>
  <r>
    <n v="1140"/>
    <x v="112"/>
    <x v="7"/>
    <x v="4"/>
    <x v="2"/>
    <x v="2"/>
    <n v="1"/>
    <n v="18.8"/>
    <n v="4.7"/>
    <n v="8.3000000000000007"/>
    <n v="0.56626506024096379"/>
    <n v="0.9"/>
    <n v="2.5"/>
    <n v="0.36"/>
    <n v="3.8"/>
    <n v="5.8"/>
    <n v="58"/>
    <n v="0.65517241379310343"/>
    <n v="2.6"/>
    <n v="3.7"/>
    <n v="0.70270270270270274"/>
    <n v="1.3"/>
    <n v="3.6"/>
    <n v="4.9000000000000004"/>
    <n v="1.4"/>
    <n v="0.8"/>
    <n v="0.4"/>
    <n v="1.6"/>
    <n v="1.8"/>
    <n v="12.9"/>
  </r>
  <r>
    <n v="1130"/>
    <x v="113"/>
    <x v="8"/>
    <x v="21"/>
    <x v="3"/>
    <x v="14"/>
    <n v="31"/>
    <n v="33.4"/>
    <n v="5.4"/>
    <n v="12.2"/>
    <n v="0.44262295081967218"/>
    <n v="1.2"/>
    <n v="3.9"/>
    <n v="0.30769230769230771"/>
    <n v="4.2"/>
    <n v="8.1999999999999993"/>
    <n v="82"/>
    <n v="0.51219512195121952"/>
    <n v="0.8"/>
    <n v="1.4"/>
    <n v="0.57142857142857151"/>
    <n v="1.6"/>
    <n v="3.4"/>
    <n v="5"/>
    <n v="3.6"/>
    <n v="3.2"/>
    <n v="0.8"/>
    <n v="1.8"/>
    <n v="2.4"/>
    <n v="12.9"/>
  </r>
  <r>
    <n v="1150"/>
    <x v="114"/>
    <x v="17"/>
    <x v="25"/>
    <x v="4"/>
    <x v="7"/>
    <n v="29"/>
    <n v="33.799999999999997"/>
    <n v="4.5999999999999996"/>
    <n v="10.8"/>
    <n v="0.42592592592592587"/>
    <n v="1.1000000000000001"/>
    <n v="3.8"/>
    <n v="0.28947368421052633"/>
    <n v="3.4"/>
    <n v="6.9"/>
    <n v="69"/>
    <n v="0.49275362318840576"/>
    <n v="2.5"/>
    <n v="3.2"/>
    <n v="0.78125"/>
    <n v="1.3"/>
    <n v="4.0999999999999996"/>
    <n v="5.5"/>
    <n v="3.6"/>
    <n v="1.4"/>
    <n v="0.8"/>
    <n v="2"/>
    <n v="2.4"/>
    <n v="12.8"/>
  </r>
  <r>
    <n v="1160"/>
    <x v="115"/>
    <x v="2"/>
    <x v="11"/>
    <x v="4"/>
    <x v="2"/>
    <n v="27"/>
    <n v="32.4"/>
    <n v="4.9000000000000004"/>
    <n v="10.8"/>
    <n v="0.45370370370370372"/>
    <n v="1.2"/>
    <n v="4.3"/>
    <n v="0.27906976744186046"/>
    <n v="3.7"/>
    <n v="6.5"/>
    <n v="65"/>
    <n v="0.56923076923076921"/>
    <n v="1.7"/>
    <n v="2.4"/>
    <n v="0.70833333333333337"/>
    <n v="1.6"/>
    <n v="4.0999999999999996"/>
    <n v="5.7"/>
    <n v="1.5"/>
    <n v="1.4"/>
    <n v="0.5"/>
    <n v="1.3"/>
    <n v="2.8"/>
    <n v="12.8"/>
  </r>
  <r>
    <n v="1190"/>
    <x v="116"/>
    <x v="11"/>
    <x v="7"/>
    <x v="1"/>
    <x v="5"/>
    <n v="32"/>
    <n v="31.3"/>
    <n v="4.8"/>
    <n v="9.6999999999999993"/>
    <n v="0.49484536082474229"/>
    <n v="2.2999999999999998"/>
    <n v="5.3"/>
    <n v="0.43396226415094336"/>
    <n v="2.5"/>
    <n v="4.5"/>
    <n v="45"/>
    <n v="0.55555555555555558"/>
    <n v="0.8"/>
    <n v="0.9"/>
    <n v="0.88888888888888895"/>
    <n v="0.6"/>
    <n v="2.1"/>
    <n v="2.6"/>
    <n v="6.3"/>
    <n v="1"/>
    <n v="0.2"/>
    <n v="1.3"/>
    <n v="1.1000000000000001"/>
    <n v="12.6"/>
  </r>
  <r>
    <n v="1200"/>
    <x v="117"/>
    <x v="5"/>
    <x v="14"/>
    <x v="2"/>
    <x v="10"/>
    <n v="0"/>
    <n v="24.7"/>
    <n v="4.7"/>
    <n v="10.199999999999999"/>
    <n v="0.46078431372549022"/>
    <n v="1.8"/>
    <n v="4.9000000000000004"/>
    <n v="0.36734693877551017"/>
    <n v="2.9"/>
    <n v="5.2"/>
    <n v="52"/>
    <n v="0.55769230769230771"/>
    <n v="1.5"/>
    <n v="1.8"/>
    <n v="0.83333333333333326"/>
    <n v="0.8"/>
    <n v="4.2"/>
    <n v="5"/>
    <n v="1.7"/>
    <n v="0.7"/>
    <n v="0.8"/>
    <n v="1.3"/>
    <n v="2.4"/>
    <n v="12.6"/>
  </r>
  <r>
    <n v="1210"/>
    <x v="118"/>
    <x v="1"/>
    <x v="6"/>
    <x v="0"/>
    <x v="12"/>
    <n v="27"/>
    <n v="31.9"/>
    <n v="4.5999999999999996"/>
    <n v="10.5"/>
    <n v="0.43809523809523804"/>
    <n v="1.6"/>
    <n v="4.0999999999999996"/>
    <n v="0.39024390243902446"/>
    <n v="3"/>
    <n v="6.3"/>
    <n v="63"/>
    <n v="0.47619047619047622"/>
    <n v="1.9"/>
    <n v="2.5"/>
    <n v="0.76"/>
    <n v="1.4"/>
    <n v="6"/>
    <n v="7.4"/>
    <n v="2.1"/>
    <n v="1.1000000000000001"/>
    <n v="1.1000000000000001"/>
    <n v="1.7"/>
    <n v="2"/>
    <n v="12.6"/>
  </r>
  <r>
    <n v="1180"/>
    <x v="119"/>
    <x v="5"/>
    <x v="24"/>
    <x v="3"/>
    <x v="2"/>
    <n v="17"/>
    <n v="30.8"/>
    <n v="4.9000000000000004"/>
    <n v="10"/>
    <n v="0.49000000000000005"/>
    <n v="1.3"/>
    <n v="4.2"/>
    <n v="0.30952380952380953"/>
    <n v="3.6"/>
    <n v="5.8"/>
    <n v="58"/>
    <n v="0.62068965517241381"/>
    <n v="1.4"/>
    <n v="1.8"/>
    <n v="0.77777777777777768"/>
    <n v="0.6"/>
    <n v="3.3"/>
    <n v="3.9"/>
    <n v="4.8"/>
    <n v="0.8"/>
    <n v="0.5"/>
    <n v="1.3"/>
    <n v="2.2999999999999998"/>
    <n v="12.6"/>
  </r>
  <r>
    <n v="1170"/>
    <x v="120"/>
    <x v="11"/>
    <x v="30"/>
    <x v="1"/>
    <x v="14"/>
    <n v="11"/>
    <n v="26.4"/>
    <n v="4.5"/>
    <n v="10.8"/>
    <n v="0.41666666666666663"/>
    <n v="1.9"/>
    <n v="5.7"/>
    <n v="0.33333333333333331"/>
    <n v="2.7"/>
    <n v="5.0999999999999996"/>
    <n v="51"/>
    <n v="0.52941176470588247"/>
    <n v="1.7"/>
    <n v="1.9"/>
    <n v="0.89473684210526316"/>
    <n v="0.3"/>
    <n v="2.5"/>
    <n v="2.7"/>
    <n v="5"/>
    <n v="0.8"/>
    <n v="0.2"/>
    <n v="1.7"/>
    <n v="1.9"/>
    <n v="12.6"/>
  </r>
  <r>
    <n v="1220"/>
    <x v="121"/>
    <x v="3"/>
    <x v="3"/>
    <x v="2"/>
    <x v="25"/>
    <n v="8"/>
    <n v="19.2"/>
    <n v="5.2"/>
    <n v="8"/>
    <n v="0.65"/>
    <n v="0"/>
    <n v="0.1"/>
    <n v="0"/>
    <n v="5.2"/>
    <n v="7.9"/>
    <n v="79"/>
    <n v="0.65822784810126578"/>
    <n v="2.2000000000000002"/>
    <n v="2.8"/>
    <n v="0.78571428571428581"/>
    <n v="2.4"/>
    <n v="5"/>
    <n v="7.4"/>
    <n v="2"/>
    <n v="0.5"/>
    <n v="1"/>
    <n v="0.8"/>
    <n v="2.1"/>
    <n v="12.5"/>
  </r>
  <r>
    <n v="1250"/>
    <x v="122"/>
    <x v="5"/>
    <x v="9"/>
    <x v="4"/>
    <x v="14"/>
    <n v="0"/>
    <n v="24.6"/>
    <n v="4.5999999999999996"/>
    <n v="10.199999999999999"/>
    <n v="0.45098039215686275"/>
    <n v="1.1000000000000001"/>
    <n v="3.8"/>
    <n v="0.28947368421052633"/>
    <n v="3.5"/>
    <n v="6.4"/>
    <n v="64"/>
    <n v="0.546875"/>
    <n v="2"/>
    <n v="2.6"/>
    <n v="0.76923076923076916"/>
    <n v="1.1000000000000001"/>
    <n v="3.9"/>
    <n v="5"/>
    <n v="1.5"/>
    <n v="0.7"/>
    <n v="0.2"/>
    <n v="0.8"/>
    <n v="1.5"/>
    <n v="12.3"/>
  </r>
  <r>
    <n v="1230"/>
    <x v="123"/>
    <x v="13"/>
    <x v="23"/>
    <x v="3"/>
    <x v="10"/>
    <n v="6"/>
    <n v="22.8"/>
    <n v="4.4000000000000004"/>
    <n v="10.3"/>
    <n v="0.42718446601941751"/>
    <n v="2.8"/>
    <n v="7.1"/>
    <n v="0.39436619718309857"/>
    <n v="1.6"/>
    <n v="3.2"/>
    <n v="32"/>
    <n v="0.5"/>
    <n v="0.7"/>
    <n v="0.8"/>
    <n v="0.87499999999999989"/>
    <n v="0.6"/>
    <n v="2.7"/>
    <n v="3.3"/>
    <n v="1.2"/>
    <n v="0.8"/>
    <n v="0.3"/>
    <n v="1.2"/>
    <n v="1.9"/>
    <n v="12.3"/>
  </r>
  <r>
    <n v="1240"/>
    <x v="124"/>
    <x v="12"/>
    <x v="5"/>
    <x v="1"/>
    <x v="7"/>
    <n v="29"/>
    <n v="30.6"/>
    <n v="4.5"/>
    <n v="9.8000000000000007"/>
    <n v="0.45918367346938771"/>
    <n v="1.9"/>
    <n v="5.4"/>
    <n v="0.3518518518518518"/>
    <n v="2.6"/>
    <n v="4.4000000000000004"/>
    <n v="44"/>
    <n v="0.59090909090909083"/>
    <n v="1.4"/>
    <n v="1.6"/>
    <n v="0.87499999999999989"/>
    <n v="1.1000000000000001"/>
    <n v="3"/>
    <n v="4.0999999999999996"/>
    <n v="3.8"/>
    <n v="1"/>
    <n v="0.4"/>
    <n v="1.4"/>
    <n v="1.4"/>
    <n v="12.3"/>
  </r>
  <r>
    <n v="1260"/>
    <x v="125"/>
    <x v="1"/>
    <x v="1"/>
    <x v="2"/>
    <x v="11"/>
    <n v="18"/>
    <n v="29.8"/>
    <n v="5.2"/>
    <n v="9"/>
    <n v="0.57777777777777783"/>
    <n v="0"/>
    <n v="0.4"/>
    <n v="0"/>
    <n v="5.2"/>
    <n v="8.6"/>
    <n v="86"/>
    <n v="0.60465116279069775"/>
    <n v="1.8"/>
    <n v="2.8"/>
    <n v="0.6428571428571429"/>
    <n v="2.7"/>
    <n v="9.6"/>
    <n v="12.3"/>
    <n v="4.0999999999999996"/>
    <n v="0.8"/>
    <n v="1.3"/>
    <n v="1.8"/>
    <n v="2.9"/>
    <n v="12.2"/>
  </r>
  <r>
    <n v="1270"/>
    <x v="126"/>
    <x v="6"/>
    <x v="0"/>
    <x v="2"/>
    <x v="5"/>
    <n v="32"/>
    <n v="32.1"/>
    <n v="4.7"/>
    <n v="9.5"/>
    <n v="0.4947368421052632"/>
    <n v="1.8"/>
    <n v="5"/>
    <n v="0.36"/>
    <n v="2.8"/>
    <n v="4.5"/>
    <n v="45"/>
    <n v="0.62222222222222223"/>
    <n v="1"/>
    <n v="1.3"/>
    <n v="0.76923076923076916"/>
    <n v="1.2"/>
    <n v="3.6"/>
    <n v="4.8"/>
    <n v="1.6"/>
    <n v="0.9"/>
    <n v="1.9"/>
    <n v="1.1000000000000001"/>
    <n v="2.2000000000000002"/>
    <n v="12.2"/>
  </r>
  <r>
    <n v="1280"/>
    <x v="127"/>
    <x v="0"/>
    <x v="15"/>
    <x v="1"/>
    <x v="12"/>
    <n v="13"/>
    <n v="28.7"/>
    <n v="4.4000000000000004"/>
    <n v="10.9"/>
    <n v="0.40366972477064222"/>
    <n v="1.6"/>
    <n v="5.2"/>
    <n v="0.30769230769230771"/>
    <n v="2.7"/>
    <n v="5.6"/>
    <n v="56"/>
    <n v="0.48214285714285721"/>
    <n v="1.8"/>
    <n v="2"/>
    <n v="0.9"/>
    <n v="0.7"/>
    <n v="3.4"/>
    <n v="4.0999999999999996"/>
    <n v="2.9"/>
    <n v="0.6"/>
    <n v="0.4"/>
    <n v="1.5"/>
    <n v="1.5"/>
    <n v="12.2"/>
  </r>
  <r>
    <n v="1290"/>
    <x v="128"/>
    <x v="3"/>
    <x v="9"/>
    <x v="4"/>
    <x v="1"/>
    <n v="26"/>
    <n v="27.9"/>
    <n v="4.2"/>
    <n v="9.6999999999999993"/>
    <n v="0.43298969072164956"/>
    <n v="2.6"/>
    <n v="7"/>
    <n v="0.37142857142857144"/>
    <n v="1.6"/>
    <n v="2.7"/>
    <n v="27"/>
    <n v="0.59259259259259256"/>
    <n v="1.1000000000000001"/>
    <n v="1.2"/>
    <n v="0.91666666666666674"/>
    <n v="0.8"/>
    <n v="3.9"/>
    <n v="4.7"/>
    <n v="1.3"/>
    <n v="0.8"/>
    <n v="0.6"/>
    <n v="1.1000000000000001"/>
    <n v="1.6"/>
    <n v="12.1"/>
  </r>
  <r>
    <n v="1310"/>
    <x v="129"/>
    <x v="1"/>
    <x v="10"/>
    <x v="0"/>
    <x v="7"/>
    <n v="29"/>
    <n v="32.700000000000003"/>
    <n v="4.5"/>
    <n v="9.3000000000000007"/>
    <n v="0.48387096774193544"/>
    <n v="1.5"/>
    <n v="3.6"/>
    <n v="0.41666666666666663"/>
    <n v="3"/>
    <n v="5.8"/>
    <n v="58"/>
    <n v="0.51724137931034486"/>
    <n v="1.7"/>
    <n v="2"/>
    <n v="0.85"/>
    <n v="1.7"/>
    <n v="3.7"/>
    <n v="5.4"/>
    <n v="1.6"/>
    <n v="0.9"/>
    <n v="0.7"/>
    <n v="1"/>
    <n v="2"/>
    <n v="12.1"/>
  </r>
  <r>
    <n v="1320"/>
    <x v="130"/>
    <x v="6"/>
    <x v="2"/>
    <x v="1"/>
    <x v="10"/>
    <n v="12"/>
    <n v="26.5"/>
    <n v="4.5"/>
    <n v="9.8000000000000007"/>
    <n v="0.45918367346938771"/>
    <n v="1.1000000000000001"/>
    <n v="3.4"/>
    <n v="0.3235294117647059"/>
    <n v="3.4"/>
    <n v="6.4"/>
    <n v="64"/>
    <n v="0.53125"/>
    <n v="2.1"/>
    <n v="3.3"/>
    <n v="0.63636363636363646"/>
    <n v="1.1000000000000001"/>
    <n v="3.5"/>
    <n v="4.5"/>
    <n v="6.7"/>
    <n v="1.7"/>
    <n v="0.5"/>
    <n v="2.7"/>
    <n v="2.6"/>
    <n v="12.1"/>
  </r>
  <r>
    <n v="1300"/>
    <x v="131"/>
    <x v="4"/>
    <x v="24"/>
    <x v="1"/>
    <x v="2"/>
    <n v="30"/>
    <n v="27.3"/>
    <n v="4.5999999999999996"/>
    <n v="10.3"/>
    <n v="0.44660194174757273"/>
    <n v="1.2"/>
    <n v="3.9"/>
    <n v="0.30769230769230771"/>
    <n v="3.4"/>
    <n v="6.4"/>
    <n v="64"/>
    <n v="0.53125"/>
    <n v="1.7"/>
    <n v="2.2999999999999998"/>
    <n v="0.73913043478260876"/>
    <n v="1.4"/>
    <n v="5.4"/>
    <n v="6.9"/>
    <n v="6.8"/>
    <n v="1"/>
    <n v="0.5"/>
    <n v="2.7"/>
    <n v="1.4"/>
    <n v="12.1"/>
  </r>
  <r>
    <n v="1340"/>
    <x v="132"/>
    <x v="18"/>
    <x v="25"/>
    <x v="2"/>
    <x v="7"/>
    <n v="29"/>
    <n v="27.2"/>
    <n v="4.5"/>
    <n v="10.9"/>
    <n v="0.41284403669724767"/>
    <n v="1.4"/>
    <n v="4.5"/>
    <n v="0.31111111111111112"/>
    <n v="3.1"/>
    <n v="6.4"/>
    <n v="64"/>
    <n v="0.484375"/>
    <n v="1.5"/>
    <n v="2.2999999999999998"/>
    <n v="0.65217391304347827"/>
    <n v="1.9"/>
    <n v="4.4000000000000004"/>
    <n v="6.3"/>
    <n v="2.2999999999999998"/>
    <n v="0.7"/>
    <n v="1.7"/>
    <n v="1.6"/>
    <n v="2.8"/>
    <n v="11.9"/>
  </r>
  <r>
    <n v="1360"/>
    <x v="133"/>
    <x v="4"/>
    <x v="27"/>
    <x v="4"/>
    <x v="5"/>
    <n v="5"/>
    <n v="27.8"/>
    <n v="4.5999999999999996"/>
    <n v="8.3000000000000007"/>
    <n v="0.55421686746987942"/>
    <n v="0.3"/>
    <n v="1.3"/>
    <n v="0.23076923076923075"/>
    <n v="4.3"/>
    <n v="7"/>
    <n v="70"/>
    <n v="0.61428571428571421"/>
    <n v="2.2999999999999998"/>
    <n v="3.4"/>
    <n v="0.67647058823529405"/>
    <n v="2.5"/>
    <n v="4.5999999999999996"/>
    <n v="7.1"/>
    <n v="2.2000000000000002"/>
    <n v="1.1000000000000001"/>
    <n v="1.1000000000000001"/>
    <n v="1.8"/>
    <n v="2.2999999999999998"/>
    <n v="11.9"/>
  </r>
  <r>
    <n v="1350"/>
    <x v="134"/>
    <x v="8"/>
    <x v="27"/>
    <x v="0"/>
    <x v="10"/>
    <n v="33"/>
    <n v="30.9"/>
    <n v="4.0999999999999996"/>
    <n v="9.5"/>
    <n v="0.43157894736842101"/>
    <n v="1.7"/>
    <n v="4.8"/>
    <n v="0.35416666666666669"/>
    <n v="2.4"/>
    <n v="4.7"/>
    <n v="47"/>
    <n v="0.51063829787234039"/>
    <n v="2"/>
    <n v="2.2999999999999998"/>
    <n v="0.86956521739130443"/>
    <n v="1.8"/>
    <n v="4.7"/>
    <n v="6.5"/>
    <n v="1"/>
    <n v="0.4"/>
    <n v="1"/>
    <n v="0.9"/>
    <n v="2.2999999999999998"/>
    <n v="11.9"/>
  </r>
  <r>
    <n v="1330"/>
    <x v="135"/>
    <x v="1"/>
    <x v="6"/>
    <x v="2"/>
    <x v="1"/>
    <n v="15"/>
    <n v="20.5"/>
    <n v="4.9000000000000004"/>
    <n v="6.8"/>
    <n v="0.72058823529411775"/>
    <n v="0"/>
    <n v="0"/>
    <n v="0"/>
    <n v="4.9000000000000004"/>
    <n v="6.8"/>
    <n v="68"/>
    <n v="0.72058823529411775"/>
    <n v="2.1"/>
    <n v="3.1"/>
    <n v="0.67741935483870974"/>
    <n v="2.5"/>
    <n v="3.7"/>
    <n v="6.2"/>
    <n v="1.2"/>
    <n v="0.5"/>
    <n v="1.4"/>
    <n v="1.1000000000000001"/>
    <n v="2.6"/>
    <n v="11.9"/>
  </r>
  <r>
    <n v="1380"/>
    <x v="136"/>
    <x v="13"/>
    <x v="25"/>
    <x v="2"/>
    <x v="5"/>
    <n v="7"/>
    <n v="20"/>
    <n v="4.9000000000000004"/>
    <n v="8.8000000000000007"/>
    <n v="0.55681818181818177"/>
    <n v="0.1"/>
    <n v="0.6"/>
    <n v="0.16666666666666669"/>
    <n v="4.8"/>
    <n v="8.1999999999999993"/>
    <n v="82"/>
    <n v="0.58536585365853666"/>
    <n v="2"/>
    <n v="2.2000000000000002"/>
    <n v="0.90909090909090906"/>
    <n v="2.2999999999999998"/>
    <n v="5.7"/>
    <n v="8.1"/>
    <n v="2.4"/>
    <n v="0.5"/>
    <n v="0.8"/>
    <n v="1.8"/>
    <n v="1.8"/>
    <n v="11.8"/>
  </r>
  <r>
    <n v="1390"/>
    <x v="137"/>
    <x v="8"/>
    <x v="22"/>
    <x v="3"/>
    <x v="6"/>
    <n v="30"/>
    <n v="25.3"/>
    <n v="4.3"/>
    <n v="9.4"/>
    <n v="0.45744680851063824"/>
    <n v="2"/>
    <n v="5"/>
    <n v="0.4"/>
    <n v="2.2999999999999998"/>
    <n v="4.4000000000000004"/>
    <n v="44"/>
    <n v="0.5227272727272726"/>
    <n v="1.3"/>
    <n v="1.6"/>
    <n v="0.8125"/>
    <n v="1.1000000000000001"/>
    <n v="2.2000000000000002"/>
    <n v="3.3"/>
    <n v="1.7"/>
    <n v="0.5"/>
    <n v="0.1"/>
    <n v="1.2"/>
    <n v="1.8"/>
    <n v="11.8"/>
  </r>
  <r>
    <n v="1370"/>
    <x v="138"/>
    <x v="0"/>
    <x v="19"/>
    <x v="4"/>
    <x v="12"/>
    <n v="0"/>
    <n v="23.9"/>
    <n v="4.0999999999999996"/>
    <n v="8.1999999999999993"/>
    <n v="0.5"/>
    <n v="1.8"/>
    <n v="4"/>
    <n v="0.45"/>
    <n v="2.2999999999999998"/>
    <n v="4.3"/>
    <n v="43"/>
    <n v="0.53488372093023251"/>
    <n v="1.7"/>
    <n v="2.5"/>
    <n v="0.67999999999999994"/>
    <n v="0.5"/>
    <n v="2.2999999999999998"/>
    <n v="2.7"/>
    <n v="3.7"/>
    <n v="1"/>
    <n v="0.5"/>
    <n v="1.3"/>
    <n v="1.3"/>
    <n v="11.8"/>
  </r>
  <r>
    <n v="1410"/>
    <x v="139"/>
    <x v="10"/>
    <x v="8"/>
    <x v="0"/>
    <x v="5"/>
    <n v="32"/>
    <n v="35.5"/>
    <n v="4.5"/>
    <n v="10.9"/>
    <n v="0.41284403669724767"/>
    <n v="1.6"/>
    <n v="5.5"/>
    <n v="0.29090909090909095"/>
    <n v="2.9"/>
    <n v="5.4"/>
    <n v="54"/>
    <n v="0.53703703703703698"/>
    <n v="1.1000000000000001"/>
    <n v="1.2"/>
    <n v="0.91666666666666674"/>
    <n v="2.2000000000000002"/>
    <n v="5.2"/>
    <n v="7.4"/>
    <n v="1.4"/>
    <n v="0.7"/>
    <n v="0.8"/>
    <n v="1"/>
    <n v="2.9"/>
    <n v="11.6"/>
  </r>
  <r>
    <n v="1400"/>
    <x v="140"/>
    <x v="3"/>
    <x v="20"/>
    <x v="3"/>
    <x v="5"/>
    <n v="10"/>
    <n v="25.2"/>
    <n v="4.3"/>
    <n v="9.6"/>
    <n v="0.44791666666666669"/>
    <n v="1.2"/>
    <n v="3.5"/>
    <n v="0.34285714285714286"/>
    <n v="3.1"/>
    <n v="6.1"/>
    <n v="61"/>
    <n v="0.50819672131147542"/>
    <n v="1.7"/>
    <n v="2.1"/>
    <n v="0.80952380952380942"/>
    <n v="0.6"/>
    <n v="2.8"/>
    <n v="3.4"/>
    <n v="2.7"/>
    <n v="1.4"/>
    <n v="0.3"/>
    <n v="1.3"/>
    <n v="1.8"/>
    <n v="11.6"/>
  </r>
  <r>
    <n v="1420"/>
    <x v="141"/>
    <x v="10"/>
    <x v="21"/>
    <x v="2"/>
    <x v="12"/>
    <n v="0"/>
    <n v="23.6"/>
    <n v="4.5"/>
    <n v="8.1999999999999993"/>
    <n v="0.54878048780487809"/>
    <n v="0.4"/>
    <n v="1.6"/>
    <n v="0.25"/>
    <n v="4.0999999999999996"/>
    <n v="6.5"/>
    <n v="65"/>
    <n v="0.63076923076923075"/>
    <n v="2"/>
    <n v="2.6"/>
    <n v="0.76923076923076916"/>
    <n v="2.6"/>
    <n v="4.0999999999999996"/>
    <n v="6.7"/>
    <n v="1.4"/>
    <n v="0.7"/>
    <n v="0.7"/>
    <n v="0.8"/>
    <n v="2.2999999999999998"/>
    <n v="11.5"/>
  </r>
  <r>
    <n v="1450"/>
    <x v="142"/>
    <x v="5"/>
    <x v="25"/>
    <x v="4"/>
    <x v="9"/>
    <n v="0"/>
    <n v="26.8"/>
    <n v="4.0999999999999996"/>
    <n v="9.4"/>
    <n v="0.43617021276595741"/>
    <n v="2"/>
    <n v="5.7"/>
    <n v="0.35087719298245612"/>
    <n v="2.1"/>
    <n v="3.7"/>
    <n v="37"/>
    <n v="0.56756756756756754"/>
    <n v="1"/>
    <n v="1.2"/>
    <n v="0.83333333333333337"/>
    <n v="0.5"/>
    <n v="2.7"/>
    <n v="3.1"/>
    <n v="1.6"/>
    <n v="0.5"/>
    <n v="0.2"/>
    <n v="1.1000000000000001"/>
    <n v="1.7"/>
    <n v="11.3"/>
  </r>
  <r>
    <n v="1440"/>
    <x v="143"/>
    <x v="17"/>
    <x v="29"/>
    <x v="1"/>
    <x v="0"/>
    <n v="3"/>
    <n v="26"/>
    <n v="4"/>
    <n v="9.9"/>
    <n v="0.40404040404040403"/>
    <n v="1.1000000000000001"/>
    <n v="3.5"/>
    <n v="0.31428571428571433"/>
    <n v="2.9"/>
    <n v="6.4"/>
    <n v="64"/>
    <n v="0.45312499999999994"/>
    <n v="2.2000000000000002"/>
    <n v="3"/>
    <n v="0.73333333333333339"/>
    <n v="0.7"/>
    <n v="2.2000000000000002"/>
    <n v="2.8"/>
    <n v="5.2"/>
    <n v="1.2"/>
    <n v="0.3"/>
    <n v="2.7"/>
    <n v="2.8"/>
    <n v="11.3"/>
  </r>
  <r>
    <n v="1430"/>
    <x v="144"/>
    <x v="3"/>
    <x v="27"/>
    <x v="0"/>
    <x v="19"/>
    <n v="0"/>
    <n v="22.8"/>
    <n v="4.4000000000000004"/>
    <n v="9.1999999999999993"/>
    <n v="0.47826086956521746"/>
    <n v="1"/>
    <n v="3"/>
    <n v="0.33333333333333331"/>
    <n v="3.4"/>
    <n v="6.2"/>
    <n v="62"/>
    <n v="0.54838709677419351"/>
    <n v="1.5"/>
    <n v="2"/>
    <n v="0.75"/>
    <n v="2.1"/>
    <n v="4.2"/>
    <n v="6.3"/>
    <n v="1"/>
    <n v="1.9"/>
    <n v="1"/>
    <n v="0.8"/>
    <n v="2.5"/>
    <n v="11.3"/>
  </r>
  <r>
    <n v="1460"/>
    <x v="145"/>
    <x v="10"/>
    <x v="18"/>
    <x v="3"/>
    <x v="6"/>
    <n v="33"/>
    <n v="30.2"/>
    <n v="4.5"/>
    <n v="8.8000000000000007"/>
    <n v="0.51136363636363635"/>
    <n v="1.7"/>
    <n v="4.0999999999999996"/>
    <n v="0.41463414634146345"/>
    <n v="2.8"/>
    <n v="4.8"/>
    <n v="48"/>
    <n v="0.58333333333333337"/>
    <n v="0.5"/>
    <n v="0.8"/>
    <n v="0.625"/>
    <n v="0.9"/>
    <n v="2.9"/>
    <n v="3.9"/>
    <n v="1.8"/>
    <n v="0.8"/>
    <n v="0.5"/>
    <n v="0.9"/>
    <n v="2.2999999999999998"/>
    <n v="11.2"/>
  </r>
  <r>
    <n v="1470"/>
    <x v="146"/>
    <x v="4"/>
    <x v="20"/>
    <x v="3"/>
    <x v="11"/>
    <n v="3"/>
    <n v="24.1"/>
    <n v="3.6"/>
    <n v="10.3"/>
    <n v="0.34951456310679613"/>
    <n v="1.9"/>
    <n v="5.8"/>
    <n v="0.32758620689655171"/>
    <n v="1.7"/>
    <n v="4.5"/>
    <n v="45"/>
    <n v="0.37777777777777777"/>
    <n v="2"/>
    <n v="2.2999999999999998"/>
    <n v="0.86956521739130443"/>
    <n v="0.4"/>
    <n v="2.6"/>
    <n v="2.9"/>
    <n v="1.1000000000000001"/>
    <n v="0.4"/>
    <n v="0.6"/>
    <n v="0.9"/>
    <n v="0.8"/>
    <n v="11.2"/>
  </r>
  <r>
    <n v="1480"/>
    <x v="147"/>
    <x v="0"/>
    <x v="15"/>
    <x v="4"/>
    <x v="2"/>
    <n v="19"/>
    <n v="23.4"/>
    <n v="4"/>
    <n v="9.5"/>
    <n v="0.42105263157894735"/>
    <n v="2.5"/>
    <n v="6.6"/>
    <n v="0.37878787878787878"/>
    <n v="1.5"/>
    <n v="2.9"/>
    <n v="29"/>
    <n v="0.51724137931034486"/>
    <n v="0.6"/>
    <n v="0.7"/>
    <n v="0.85714285714285721"/>
    <n v="0.3"/>
    <n v="2"/>
    <n v="2.4"/>
    <n v="2.6"/>
    <n v="0.5"/>
    <n v="0.1"/>
    <n v="0.9"/>
    <n v="2.1"/>
    <n v="11.2"/>
  </r>
  <r>
    <n v="1490"/>
    <x v="148"/>
    <x v="4"/>
    <x v="22"/>
    <x v="2"/>
    <x v="20"/>
    <n v="14"/>
    <n v="21.9"/>
    <n v="4.5999999999999996"/>
    <n v="7.8"/>
    <n v="0.58974358974358976"/>
    <n v="0.4"/>
    <n v="1"/>
    <n v="0.4"/>
    <n v="4.2"/>
    <n v="6.8"/>
    <n v="68"/>
    <n v="0.61764705882352944"/>
    <n v="1.5"/>
    <n v="2.2999999999999998"/>
    <n v="0.65217391304347827"/>
    <n v="3.7"/>
    <n v="4.3"/>
    <n v="8"/>
    <n v="1"/>
    <n v="0.8"/>
    <n v="1.1000000000000001"/>
    <n v="1.6"/>
    <n v="2.9"/>
    <n v="11.1"/>
  </r>
  <r>
    <n v="1520"/>
    <x v="149"/>
    <x v="3"/>
    <x v="25"/>
    <x v="4"/>
    <x v="22"/>
    <n v="12"/>
    <n v="25.7"/>
    <n v="4.4000000000000004"/>
    <n v="7.9"/>
    <n v="0.55696202531645567"/>
    <n v="1.5"/>
    <n v="3.7"/>
    <n v="0.40540540540540537"/>
    <n v="2.9"/>
    <n v="4.2"/>
    <n v="42"/>
    <n v="0.69047619047619047"/>
    <n v="0.7"/>
    <n v="1.1000000000000001"/>
    <n v="0.63636363636363624"/>
    <n v="2.2000000000000002"/>
    <n v="4.5"/>
    <n v="6.7"/>
    <n v="1.1000000000000001"/>
    <n v="1.3"/>
    <n v="0.8"/>
    <n v="1.3"/>
    <n v="2.5"/>
    <n v="10.9"/>
  </r>
  <r>
    <n v="1510"/>
    <x v="150"/>
    <x v="17"/>
    <x v="9"/>
    <x v="1"/>
    <x v="10"/>
    <n v="18"/>
    <n v="25.1"/>
    <n v="3.8"/>
    <n v="9.9"/>
    <n v="0.38383838383838381"/>
    <n v="1"/>
    <n v="3.7"/>
    <n v="0.27027027027027023"/>
    <n v="2.9"/>
    <n v="6.2"/>
    <n v="62"/>
    <n v="0.46774193548387094"/>
    <n v="2.2000000000000002"/>
    <n v="3.2"/>
    <n v="0.6875"/>
    <n v="0.6"/>
    <n v="1.9"/>
    <n v="2.5"/>
    <n v="3.6"/>
    <n v="0.8"/>
    <n v="0.3"/>
    <n v="1.8"/>
    <n v="1.7"/>
    <n v="10.9"/>
  </r>
  <r>
    <n v="1530"/>
    <x v="151"/>
    <x v="7"/>
    <x v="6"/>
    <x v="4"/>
    <x v="0"/>
    <n v="8"/>
    <n v="23.2"/>
    <n v="4.3"/>
    <n v="8.1999999999999993"/>
    <n v="0.52439024390243905"/>
    <n v="0.8"/>
    <n v="2.4"/>
    <n v="0.33333333333333337"/>
    <n v="3.6"/>
    <n v="5.8"/>
    <n v="58"/>
    <n v="0.62068965517241381"/>
    <n v="1.4"/>
    <n v="1.6"/>
    <n v="0.87499999999999989"/>
    <n v="0.9"/>
    <n v="2.2999999999999998"/>
    <n v="3.3"/>
    <n v="2.2000000000000002"/>
    <n v="0.8"/>
    <n v="0.1"/>
    <n v="1.3"/>
    <n v="1.4"/>
    <n v="10.9"/>
  </r>
  <r>
    <n v="1500"/>
    <x v="152"/>
    <x v="13"/>
    <x v="21"/>
    <x v="3"/>
    <x v="22"/>
    <n v="0"/>
    <n v="25.3"/>
    <n v="3.7"/>
    <n v="9.3000000000000007"/>
    <n v="0.39784946236559138"/>
    <n v="2.1"/>
    <n v="6.2"/>
    <n v="0.33870967741935487"/>
    <n v="1.7"/>
    <n v="3.1"/>
    <n v="31"/>
    <n v="0.54838709677419351"/>
    <n v="1.3"/>
    <n v="1.4"/>
    <n v="0.92857142857142871"/>
    <n v="0.6"/>
    <n v="2.5"/>
    <n v="3.1"/>
    <n v="2.2999999999999998"/>
    <n v="1"/>
    <n v="0.3"/>
    <n v="1.7"/>
    <n v="2.5"/>
    <n v="10.9"/>
  </r>
  <r>
    <n v="1540"/>
    <x v="153"/>
    <x v="1"/>
    <x v="20"/>
    <x v="4"/>
    <x v="23"/>
    <n v="17"/>
    <n v="33"/>
    <n v="4"/>
    <n v="8.9"/>
    <n v="0.449438202247191"/>
    <n v="1.1000000000000001"/>
    <n v="3.6"/>
    <n v="0.30555555555555558"/>
    <n v="2.9"/>
    <n v="5.3"/>
    <n v="53"/>
    <n v="0.54716981132075471"/>
    <n v="1.7"/>
    <n v="2.1"/>
    <n v="0.80952380952380942"/>
    <n v="1.3"/>
    <n v="2.7"/>
    <n v="4"/>
    <n v="3.4"/>
    <n v="1.9"/>
    <n v="0.4"/>
    <n v="1.8"/>
    <n v="3.5"/>
    <n v="10.8"/>
  </r>
  <r>
    <n v="1550"/>
    <x v="154"/>
    <x v="13"/>
    <x v="26"/>
    <x v="1"/>
    <x v="1"/>
    <n v="0"/>
    <n v="19.600000000000001"/>
    <n v="4.9000000000000004"/>
    <n v="8.9"/>
    <n v="0.550561797752809"/>
    <n v="0.2"/>
    <n v="0.7"/>
    <n v="0.28571428571428575"/>
    <n v="4.7"/>
    <n v="8.1999999999999993"/>
    <n v="82"/>
    <n v="0.57317073170731714"/>
    <n v="0.8"/>
    <n v="1.1000000000000001"/>
    <n v="0.72727272727272729"/>
    <n v="0.6"/>
    <n v="1.9"/>
    <n v="2.6"/>
    <n v="4.3"/>
    <n v="1.2"/>
    <n v="0.3"/>
    <n v="1.6"/>
    <n v="1"/>
    <n v="10.8"/>
  </r>
  <r>
    <n v="1570"/>
    <x v="155"/>
    <x v="10"/>
    <x v="22"/>
    <x v="1"/>
    <x v="6"/>
    <n v="14"/>
    <n v="22.5"/>
    <n v="4"/>
    <n v="8.5"/>
    <n v="0.47058823529411764"/>
    <n v="1.1000000000000001"/>
    <n v="3.1"/>
    <n v="0.35483870967741937"/>
    <n v="2.9"/>
    <n v="5.4"/>
    <n v="54"/>
    <n v="0.53703703703703698"/>
    <n v="1.5"/>
    <n v="2.2000000000000002"/>
    <n v="0.68181818181818177"/>
    <n v="0.7"/>
    <n v="2.7"/>
    <n v="3.4"/>
    <n v="5"/>
    <n v="1.1000000000000001"/>
    <n v="0.4"/>
    <n v="2.2000000000000002"/>
    <n v="2.5"/>
    <n v="10.7"/>
  </r>
  <r>
    <n v="1560"/>
    <x v="156"/>
    <x v="5"/>
    <x v="26"/>
    <x v="3"/>
    <x v="18"/>
    <n v="20"/>
    <n v="27.1"/>
    <n v="4"/>
    <n v="8.6999999999999993"/>
    <n v="0.45977011494252878"/>
    <n v="0.8"/>
    <n v="2.4"/>
    <n v="0.33333333333333337"/>
    <n v="3.2"/>
    <n v="6.3"/>
    <n v="63"/>
    <n v="0.50793650793650802"/>
    <n v="1.9"/>
    <n v="2.1"/>
    <n v="0.90476190476190466"/>
    <n v="0.5"/>
    <n v="2.7"/>
    <n v="3.2"/>
    <n v="4.9000000000000004"/>
    <n v="0.8"/>
    <n v="0.2"/>
    <n v="1.8"/>
    <n v="1.9"/>
    <n v="10.7"/>
  </r>
  <r>
    <n v="1580"/>
    <x v="157"/>
    <x v="18"/>
    <x v="21"/>
    <x v="4"/>
    <x v="6"/>
    <n v="33"/>
    <n v="23.9"/>
    <n v="4"/>
    <n v="9.9"/>
    <n v="0.40404040404040403"/>
    <n v="1.2"/>
    <n v="4.3"/>
    <n v="0.27906976744186046"/>
    <n v="2.8"/>
    <n v="5.7"/>
    <n v="57"/>
    <n v="0.49122807017543857"/>
    <n v="1.5"/>
    <n v="2.2000000000000002"/>
    <n v="0.68181818181818177"/>
    <n v="1.3"/>
    <n v="2.1"/>
    <n v="3.4"/>
    <n v="1.2"/>
    <n v="0.8"/>
    <n v="0.6"/>
    <n v="1.2"/>
    <n v="2.1"/>
    <n v="10.7"/>
  </r>
  <r>
    <n v="1590"/>
    <x v="158"/>
    <x v="13"/>
    <x v="9"/>
    <x v="0"/>
    <x v="1"/>
    <n v="34"/>
    <n v="27.8"/>
    <n v="3.6"/>
    <n v="7.4"/>
    <n v="0.48648648648648646"/>
    <n v="1.4"/>
    <n v="3.4"/>
    <n v="0.41176470588235292"/>
    <n v="2.1"/>
    <n v="4"/>
    <n v="40"/>
    <n v="0.52500000000000002"/>
    <n v="2.1"/>
    <n v="2.6"/>
    <n v="0.80769230769230771"/>
    <n v="1.5"/>
    <n v="2.2999999999999998"/>
    <n v="3.9"/>
    <n v="1.5"/>
    <n v="0.3"/>
    <n v="0.2"/>
    <n v="0.7"/>
    <n v="0.8"/>
    <n v="10.6"/>
  </r>
  <r>
    <n v="1610"/>
    <x v="159"/>
    <x v="9"/>
    <x v="7"/>
    <x v="4"/>
    <x v="14"/>
    <n v="9"/>
    <n v="26.4"/>
    <n v="3.7"/>
    <n v="8.3000000000000007"/>
    <n v="0.44578313253012047"/>
    <n v="2.5"/>
    <n v="5.7"/>
    <n v="0.43859649122807015"/>
    <n v="1.2"/>
    <n v="2.6"/>
    <n v="26"/>
    <n v="0.46153846153846151"/>
    <n v="0.5"/>
    <n v="0.7"/>
    <n v="0.7142857142857143"/>
    <n v="1"/>
    <n v="4.5999999999999996"/>
    <n v="5.6"/>
    <n v="2.4"/>
    <n v="1"/>
    <n v="0.6"/>
    <n v="1"/>
    <n v="2.2999999999999998"/>
    <n v="10.5"/>
  </r>
  <r>
    <n v="1600"/>
    <x v="160"/>
    <x v="7"/>
    <x v="16"/>
    <x v="3"/>
    <x v="10"/>
    <n v="9"/>
    <n v="24.9"/>
    <n v="3.7"/>
    <n v="7.4"/>
    <n v="0.5"/>
    <n v="1.7"/>
    <n v="3.8"/>
    <n v="0.44736842105263158"/>
    <n v="2"/>
    <n v="3.6"/>
    <n v="36"/>
    <n v="0.55555555555555558"/>
    <n v="1.3"/>
    <n v="1.6"/>
    <n v="0.8125"/>
    <n v="0.5"/>
    <n v="2.1"/>
    <n v="2.6"/>
    <n v="1.2"/>
    <n v="0.5"/>
    <n v="0.1"/>
    <n v="0.8"/>
    <n v="1.6"/>
    <n v="10.5"/>
  </r>
  <r>
    <n v="1620"/>
    <x v="161"/>
    <x v="2"/>
    <x v="7"/>
    <x v="3"/>
    <x v="17"/>
    <n v="1"/>
    <n v="23.9"/>
    <n v="3.2"/>
    <n v="8"/>
    <n v="0.4"/>
    <n v="2.2000000000000002"/>
    <n v="5.8"/>
    <n v="0.37931034482758624"/>
    <n v="1"/>
    <n v="2.2000000000000002"/>
    <n v="22"/>
    <n v="0.45454545454545453"/>
    <n v="1.8"/>
    <n v="2.2000000000000002"/>
    <n v="0.81818181818181812"/>
    <n v="0.7"/>
    <n v="2.5"/>
    <n v="3.2"/>
    <n v="1.8"/>
    <n v="0.9"/>
    <n v="0.3"/>
    <n v="1"/>
    <n v="1.5"/>
    <n v="10.4"/>
  </r>
  <r>
    <n v="1630"/>
    <x v="162"/>
    <x v="1"/>
    <x v="3"/>
    <x v="0"/>
    <x v="26"/>
    <n v="7"/>
    <n v="29.9"/>
    <n v="3.4"/>
    <n v="7.7"/>
    <n v="0.44155844155844154"/>
    <n v="1.7"/>
    <n v="4.5999999999999996"/>
    <n v="0.36956521739130438"/>
    <n v="1.7"/>
    <n v="3.1"/>
    <n v="31"/>
    <n v="0.54838709677419351"/>
    <n v="1.9"/>
    <n v="2.2999999999999998"/>
    <n v="0.82608695652173914"/>
    <n v="1.1000000000000001"/>
    <n v="4"/>
    <n v="5.0999999999999996"/>
    <n v="2.2999999999999998"/>
    <n v="1.1000000000000001"/>
    <n v="0.8"/>
    <n v="1.8"/>
    <n v="2.9"/>
    <n v="10.4"/>
  </r>
  <r>
    <n v="1640"/>
    <x v="163"/>
    <x v="1"/>
    <x v="20"/>
    <x v="1"/>
    <x v="13"/>
    <n v="7"/>
    <n v="25.1"/>
    <n v="3.5"/>
    <n v="8.9"/>
    <n v="0.3932584269662921"/>
    <n v="2.1"/>
    <n v="5.3"/>
    <n v="0.39622641509433965"/>
    <n v="1.4"/>
    <n v="3.6"/>
    <n v="36"/>
    <n v="0.38888888888888884"/>
    <n v="1.2"/>
    <n v="1.4"/>
    <n v="0.85714285714285721"/>
    <n v="0.6"/>
    <n v="1.6"/>
    <n v="2.2000000000000002"/>
    <n v="4.3"/>
    <n v="1.7"/>
    <n v="0.3"/>
    <n v="1.2"/>
    <n v="2.2999999999999998"/>
    <n v="10.3"/>
  </r>
  <r>
    <n v="1650"/>
    <x v="164"/>
    <x v="13"/>
    <x v="14"/>
    <x v="2"/>
    <x v="10"/>
    <n v="33"/>
    <n v="33.5"/>
    <n v="3.9"/>
    <n v="6.2"/>
    <n v="0.62903225806451613"/>
    <n v="0"/>
    <n v="0"/>
    <n v="0"/>
    <n v="3.9"/>
    <n v="6.2"/>
    <n v="62"/>
    <n v="0.62903225806451613"/>
    <n v="2.4"/>
    <n v="3.4"/>
    <n v="0.70588235294117652"/>
    <n v="3.4"/>
    <n v="7.1"/>
    <n v="10.5"/>
    <n v="1.7"/>
    <n v="0.7"/>
    <n v="1.4"/>
    <n v="1.5"/>
    <n v="2.6"/>
    <n v="10.3"/>
  </r>
  <r>
    <n v="1670"/>
    <x v="165"/>
    <x v="1"/>
    <x v="26"/>
    <x v="0"/>
    <x v="5"/>
    <n v="0"/>
    <n v="19.7"/>
    <n v="4"/>
    <n v="7.3"/>
    <n v="0.54794520547945202"/>
    <n v="1.3"/>
    <n v="3.5"/>
    <n v="0.37142857142857144"/>
    <n v="2.8"/>
    <n v="3.8"/>
    <n v="38"/>
    <n v="0.73684210526315785"/>
    <n v="1"/>
    <n v="1.3"/>
    <n v="0.76923076923076916"/>
    <n v="0.7"/>
    <n v="3.4"/>
    <n v="4.0999999999999996"/>
    <n v="1.7"/>
    <n v="0.8"/>
    <n v="0.4"/>
    <n v="0.7"/>
    <n v="1.5"/>
    <n v="10.3"/>
  </r>
  <r>
    <n v="1660"/>
    <x v="166"/>
    <x v="1"/>
    <x v="23"/>
    <x v="3"/>
    <x v="15"/>
    <n v="2"/>
    <n v="20.2"/>
    <n v="3.7"/>
    <n v="9"/>
    <n v="0.41111111111111115"/>
    <n v="2.2000000000000002"/>
    <n v="5.8"/>
    <n v="0.37931034482758624"/>
    <n v="1.5"/>
    <n v="3.2"/>
    <n v="32"/>
    <n v="0.46875"/>
    <n v="0.8"/>
    <n v="1.3"/>
    <n v="0.61538461538461542"/>
    <n v="1"/>
    <n v="2.2999999999999998"/>
    <n v="3.3"/>
    <n v="2.8"/>
    <n v="1.2"/>
    <n v="0.3"/>
    <n v="1.7"/>
    <n v="3"/>
    <n v="10.3"/>
  </r>
  <r>
    <n v="1680"/>
    <x v="167"/>
    <x v="3"/>
    <x v="28"/>
    <x v="2"/>
    <x v="0"/>
    <n v="26"/>
    <n v="29.8"/>
    <n v="4.4000000000000004"/>
    <n v="6.3"/>
    <n v="0.69841269841269848"/>
    <n v="0.1"/>
    <n v="0.2"/>
    <n v="0.5"/>
    <n v="4.3"/>
    <n v="6.1"/>
    <n v="61"/>
    <n v="0.70491803278688525"/>
    <n v="1.3"/>
    <n v="2.5"/>
    <n v="0.52"/>
    <n v="3.9"/>
    <n v="7"/>
    <n v="10.9"/>
    <n v="1.8"/>
    <n v="0.5"/>
    <n v="2.7"/>
    <n v="1.5"/>
    <n v="2.2999999999999998"/>
    <n v="10.199999999999999"/>
  </r>
  <r>
    <n v="1690"/>
    <x v="168"/>
    <x v="3"/>
    <x v="24"/>
    <x v="0"/>
    <x v="19"/>
    <n v="23"/>
    <n v="27"/>
    <n v="3.5"/>
    <n v="8.9"/>
    <n v="0.3932584269662921"/>
    <n v="1.9"/>
    <n v="4.9000000000000004"/>
    <n v="0.38775510204081626"/>
    <n v="1.7"/>
    <n v="4"/>
    <n v="40"/>
    <n v="0.42499999999999999"/>
    <n v="1.2"/>
    <n v="1.4"/>
    <n v="0.85714285714285721"/>
    <n v="0.8"/>
    <n v="3.5"/>
    <n v="4.3"/>
    <n v="2.2000000000000002"/>
    <n v="0.9"/>
    <n v="0.5"/>
    <n v="1.5"/>
    <n v="1.3"/>
    <n v="10.199999999999999"/>
  </r>
  <r>
    <n v="1710"/>
    <x v="169"/>
    <x v="13"/>
    <x v="17"/>
    <x v="3"/>
    <x v="14"/>
    <n v="31"/>
    <n v="27.6"/>
    <n v="3.3"/>
    <n v="8.1"/>
    <n v="0.40740740740740738"/>
    <n v="1.9"/>
    <n v="5.4"/>
    <n v="0.3518518518518518"/>
    <n v="1.4"/>
    <n v="2.7"/>
    <n v="27"/>
    <n v="0.51851851851851849"/>
    <n v="1.5"/>
    <n v="1.8"/>
    <n v="0.83333333333333326"/>
    <n v="0.2"/>
    <n v="1.8"/>
    <n v="2"/>
    <n v="1.6"/>
    <n v="0.4"/>
    <n v="0"/>
    <n v="0.7"/>
    <n v="1.4"/>
    <n v="10.1"/>
  </r>
  <r>
    <n v="1700"/>
    <x v="170"/>
    <x v="10"/>
    <x v="6"/>
    <x v="3"/>
    <x v="10"/>
    <n v="11"/>
    <n v="22.2"/>
    <n v="3.5"/>
    <n v="7.3"/>
    <n v="0.47945205479452058"/>
    <n v="1.6"/>
    <n v="4"/>
    <n v="0.4"/>
    <n v="1.8"/>
    <n v="3.3"/>
    <n v="33"/>
    <n v="0.54545454545454553"/>
    <n v="1.5"/>
    <n v="1.9"/>
    <n v="0.78947368421052633"/>
    <n v="0.8"/>
    <n v="3.2"/>
    <n v="4"/>
    <n v="1.8"/>
    <n v="0.6"/>
    <n v="0.3"/>
    <n v="1.2"/>
    <n v="1.6"/>
    <n v="10.1"/>
  </r>
  <r>
    <n v="1720"/>
    <x v="171"/>
    <x v="7"/>
    <x v="19"/>
    <x v="3"/>
    <x v="10"/>
    <n v="2"/>
    <n v="17.600000000000001"/>
    <n v="3.7"/>
    <n v="7.4"/>
    <n v="0.5"/>
    <n v="1.4"/>
    <n v="3.3"/>
    <n v="0.42424242424242425"/>
    <n v="2.2999999999999998"/>
    <n v="4.0999999999999996"/>
    <n v="41"/>
    <n v="0.56097560975609762"/>
    <n v="1.4"/>
    <n v="1.5"/>
    <n v="0.93333333333333324"/>
    <n v="0.6"/>
    <n v="1.5"/>
    <n v="2.2000000000000002"/>
    <n v="3.5"/>
    <n v="1.1000000000000001"/>
    <n v="0"/>
    <n v="1.1000000000000001"/>
    <n v="1.5"/>
    <n v="10.1"/>
  </r>
  <r>
    <n v="1730"/>
    <x v="172"/>
    <x v="11"/>
    <x v="14"/>
    <x v="3"/>
    <x v="10"/>
    <n v="2"/>
    <n v="25.5"/>
    <n v="3.4"/>
    <n v="8.6"/>
    <n v="0.39534883720930231"/>
    <n v="2.4"/>
    <n v="6.6"/>
    <n v="0.36363636363636365"/>
    <n v="1"/>
    <n v="2.1"/>
    <n v="21"/>
    <n v="0.47619047619047616"/>
    <n v="0.9"/>
    <n v="1.1000000000000001"/>
    <n v="0.81818181818181812"/>
    <n v="0.4"/>
    <n v="3"/>
    <n v="3.4"/>
    <n v="3.4"/>
    <n v="1.1000000000000001"/>
    <n v="0.2"/>
    <n v="1.6"/>
    <n v="1.6"/>
    <n v="10"/>
  </r>
  <r>
    <n v="1740"/>
    <x v="173"/>
    <x v="3"/>
    <x v="10"/>
    <x v="4"/>
    <x v="1"/>
    <n v="12"/>
    <n v="22.3"/>
    <n v="3.7"/>
    <n v="7.9"/>
    <n v="0.46835443037974683"/>
    <n v="1.7"/>
    <n v="4.7"/>
    <n v="0.36170212765957444"/>
    <n v="2"/>
    <n v="3.2"/>
    <n v="32"/>
    <n v="0.625"/>
    <n v="0.9"/>
    <n v="1.2"/>
    <n v="0.75"/>
    <n v="0.7"/>
    <n v="2.8"/>
    <n v="3.4"/>
    <n v="1.1000000000000001"/>
    <n v="0.4"/>
    <n v="0.1"/>
    <n v="0.6"/>
    <n v="1.4"/>
    <n v="10"/>
  </r>
  <r>
    <n v="1760"/>
    <x v="174"/>
    <x v="13"/>
    <x v="18"/>
    <x v="0"/>
    <x v="14"/>
    <n v="0"/>
    <n v="17.5"/>
    <n v="3.5"/>
    <n v="7.6"/>
    <n v="0.46052631578947373"/>
    <n v="1.2"/>
    <n v="3.8"/>
    <n v="0.31578947368421051"/>
    <n v="2.4"/>
    <n v="3.9"/>
    <n v="39"/>
    <n v="0.61538461538461542"/>
    <n v="1.7"/>
    <n v="2.2000000000000002"/>
    <n v="0.7727272727272726"/>
    <n v="1.3"/>
    <n v="2.9"/>
    <n v="4.2"/>
    <n v="0.7"/>
    <n v="0.6"/>
    <n v="0.6"/>
    <n v="0.7"/>
    <n v="1.4"/>
    <n v="9.9"/>
  </r>
  <r>
    <n v="1750"/>
    <x v="175"/>
    <x v="5"/>
    <x v="4"/>
    <x v="2"/>
    <x v="14"/>
    <n v="28"/>
    <n v="24.8"/>
    <n v="4.0999999999999996"/>
    <n v="6.5"/>
    <n v="0.63076923076923075"/>
    <n v="0"/>
    <n v="0.5"/>
    <n v="0"/>
    <n v="4.0999999999999996"/>
    <n v="6"/>
    <n v="60"/>
    <n v="0.68333333333333324"/>
    <n v="1.6"/>
    <n v="2.2999999999999998"/>
    <n v="0.69565217391304357"/>
    <n v="3"/>
    <n v="5.5"/>
    <n v="8.5"/>
    <n v="2.4"/>
    <n v="0.9"/>
    <n v="1.6"/>
    <n v="1.5"/>
    <n v="2.5"/>
    <n v="9.9"/>
  </r>
  <r>
    <n v="1780"/>
    <x v="176"/>
    <x v="10"/>
    <x v="14"/>
    <x v="0"/>
    <x v="10"/>
    <n v="33"/>
    <n v="29.8"/>
    <n v="3.9"/>
    <n v="9.1"/>
    <n v="0.4285714285714286"/>
    <n v="1.2"/>
    <n v="3.8"/>
    <n v="0.31578947368421051"/>
    <n v="2.7"/>
    <n v="5.2"/>
    <n v="52"/>
    <n v="0.51923076923076927"/>
    <n v="0.8"/>
    <n v="1.1000000000000001"/>
    <n v="0.72727272727272729"/>
    <n v="1.5"/>
    <n v="3.2"/>
    <n v="4.7"/>
    <n v="1.6"/>
    <n v="1.3"/>
    <n v="0.7"/>
    <n v="1.2"/>
    <n v="3"/>
    <n v="9.9"/>
  </r>
  <r>
    <n v="1770"/>
    <x v="177"/>
    <x v="5"/>
    <x v="13"/>
    <x v="2"/>
    <x v="12"/>
    <n v="20"/>
    <n v="26"/>
    <n v="4.3"/>
    <n v="7.5"/>
    <n v="0.57333333333333336"/>
    <n v="0"/>
    <n v="0.3"/>
    <n v="0"/>
    <n v="4.2"/>
    <n v="7.2"/>
    <n v="72"/>
    <n v="0.58333333333333337"/>
    <n v="1.4"/>
    <n v="2.5"/>
    <n v="0.55999999999999994"/>
    <n v="1.9"/>
    <n v="5.8"/>
    <n v="7.6"/>
    <n v="2"/>
    <n v="0.9"/>
    <n v="1.1000000000000001"/>
    <n v="1.3"/>
    <n v="2.2000000000000002"/>
    <n v="9.9"/>
  </r>
  <r>
    <n v="1820"/>
    <x v="178"/>
    <x v="2"/>
    <x v="11"/>
    <x v="0"/>
    <x v="5"/>
    <n v="11"/>
    <n v="24.1"/>
    <n v="3.6"/>
    <n v="7"/>
    <n v="0.51428571428571435"/>
    <n v="1.5"/>
    <n v="3.7"/>
    <n v="0.40540540540540537"/>
    <n v="2.1"/>
    <n v="3.3"/>
    <n v="33"/>
    <n v="0.63636363636363646"/>
    <n v="1.3"/>
    <n v="1.8"/>
    <n v="0.72222222222222221"/>
    <n v="1.6"/>
    <n v="3.5"/>
    <n v="5.0999999999999996"/>
    <n v="1.8"/>
    <n v="0.7"/>
    <n v="0.4"/>
    <n v="1.3"/>
    <n v="2.5"/>
    <n v="9.8000000000000007"/>
  </r>
  <r>
    <n v="1790"/>
    <x v="179"/>
    <x v="5"/>
    <x v="1"/>
    <x v="4"/>
    <x v="10"/>
    <n v="33"/>
    <n v="29.4"/>
    <n v="3.3"/>
    <n v="8.1999999999999993"/>
    <n v="0.40243902439024393"/>
    <n v="2.2000000000000002"/>
    <n v="5.6"/>
    <n v="0.3928571428571429"/>
    <n v="1.1000000000000001"/>
    <n v="2.6"/>
    <n v="26"/>
    <n v="0.42307692307692307"/>
    <n v="0.8"/>
    <n v="1.1000000000000001"/>
    <n v="0.72727272727272729"/>
    <n v="1.5"/>
    <n v="3"/>
    <n v="4.5"/>
    <n v="1.6"/>
    <n v="1.2"/>
    <n v="0.7"/>
    <n v="0.5"/>
    <n v="3.2"/>
    <n v="9.8000000000000007"/>
  </r>
  <r>
    <n v="1810"/>
    <x v="180"/>
    <x v="10"/>
    <x v="12"/>
    <x v="1"/>
    <x v="12"/>
    <n v="0"/>
    <n v="24.5"/>
    <n v="3.4"/>
    <n v="8.1"/>
    <n v="0.41975308641975312"/>
    <n v="1.9"/>
    <n v="4.7"/>
    <n v="0.40425531914893614"/>
    <n v="1.5"/>
    <n v="3.4"/>
    <n v="34"/>
    <n v="0.44117647058823528"/>
    <n v="1"/>
    <n v="1.3"/>
    <n v="0.76923076923076916"/>
    <n v="0.8"/>
    <n v="1.9"/>
    <n v="2.6"/>
    <n v="3"/>
    <n v="0.9"/>
    <n v="0.2"/>
    <n v="0.9"/>
    <n v="1.6"/>
    <n v="9.8000000000000007"/>
  </r>
  <r>
    <n v="1800"/>
    <x v="181"/>
    <x v="7"/>
    <x v="16"/>
    <x v="4"/>
    <x v="5"/>
    <n v="32"/>
    <n v="24.7"/>
    <n v="3.9"/>
    <n v="7.8"/>
    <n v="0.5"/>
    <n v="1.1000000000000001"/>
    <n v="2.9"/>
    <n v="0.37931034482758624"/>
    <n v="2.8"/>
    <n v="4.9000000000000004"/>
    <n v="49"/>
    <n v="0.5714285714285714"/>
    <n v="1"/>
    <n v="1.1000000000000001"/>
    <n v="0.90909090909090906"/>
    <n v="1.2"/>
    <n v="2.2000000000000002"/>
    <n v="3.4"/>
    <n v="0.9"/>
    <n v="1.3"/>
    <n v="0.3"/>
    <n v="1"/>
    <n v="2"/>
    <n v="9.8000000000000007"/>
  </r>
  <r>
    <n v="1860"/>
    <x v="182"/>
    <x v="1"/>
    <x v="0"/>
    <x v="3"/>
    <x v="2"/>
    <n v="7"/>
    <n v="24.9"/>
    <n v="3.3"/>
    <n v="7.9"/>
    <n v="0.41772151898734172"/>
    <n v="2.1"/>
    <n v="5.0999999999999996"/>
    <n v="0.41176470588235298"/>
    <n v="1.2"/>
    <n v="2.8"/>
    <n v="28"/>
    <n v="0.4285714285714286"/>
    <n v="0.9"/>
    <n v="1"/>
    <n v="0.9"/>
    <n v="0.2"/>
    <n v="2"/>
    <n v="2.2000000000000002"/>
    <n v="0.9"/>
    <n v="1"/>
    <n v="0"/>
    <n v="0.7"/>
    <n v="2"/>
    <n v="9.6"/>
  </r>
  <r>
    <n v="1850"/>
    <x v="183"/>
    <x v="10"/>
    <x v="16"/>
    <x v="3"/>
    <x v="2"/>
    <n v="1"/>
    <n v="20"/>
    <n v="3.9"/>
    <n v="9.6"/>
    <n v="0.40625"/>
    <n v="0.6"/>
    <n v="2.6"/>
    <n v="0.23076923076923075"/>
    <n v="3.2"/>
    <n v="6.9"/>
    <n v="69"/>
    <n v="0.46376811594202899"/>
    <n v="1.3"/>
    <n v="1.9"/>
    <n v="0.68421052631578949"/>
    <n v="0.7"/>
    <n v="2.9"/>
    <n v="3.6"/>
    <n v="3.1"/>
    <n v="0.9"/>
    <n v="0.3"/>
    <n v="2.2000000000000002"/>
    <n v="1.7"/>
    <n v="9.6"/>
  </r>
  <r>
    <n v="1840"/>
    <x v="184"/>
    <x v="8"/>
    <x v="17"/>
    <x v="2"/>
    <x v="14"/>
    <n v="31"/>
    <n v="24.9"/>
    <n v="4"/>
    <n v="5.7"/>
    <n v="0.70175438596491224"/>
    <n v="0"/>
    <n v="0"/>
    <n v="0"/>
    <n v="4"/>
    <n v="5.7"/>
    <n v="57"/>
    <n v="0.70175438596491224"/>
    <n v="1.6"/>
    <n v="2.7"/>
    <n v="0.59259259259259256"/>
    <n v="3.2"/>
    <n v="6.2"/>
    <n v="9.4"/>
    <n v="2.2000000000000002"/>
    <n v="0.5"/>
    <n v="1.2"/>
    <n v="1.9"/>
    <n v="3.2"/>
    <n v="9.6"/>
  </r>
  <r>
    <n v="1830"/>
    <x v="185"/>
    <x v="9"/>
    <x v="30"/>
    <x v="0"/>
    <x v="17"/>
    <n v="20"/>
    <n v="28.1"/>
    <n v="3.4"/>
    <n v="7.6"/>
    <n v="0.44736842105263158"/>
    <n v="2.2000000000000002"/>
    <n v="5.0999999999999996"/>
    <n v="0.43137254901960792"/>
    <n v="1.2"/>
    <n v="2.5"/>
    <n v="25"/>
    <n v="0.48"/>
    <n v="0.7"/>
    <n v="1"/>
    <n v="0.7"/>
    <n v="1.7"/>
    <n v="2.8"/>
    <n v="4.4000000000000004"/>
    <n v="1.5"/>
    <n v="0.8"/>
    <n v="0.5"/>
    <n v="0.8"/>
    <n v="2.8"/>
    <n v="9.6"/>
  </r>
  <r>
    <n v="1870"/>
    <x v="186"/>
    <x v="13"/>
    <x v="21"/>
    <x v="0"/>
    <x v="22"/>
    <n v="2"/>
    <n v="19.399999999999999"/>
    <n v="3.7"/>
    <n v="6.3"/>
    <n v="0.58730158730158732"/>
    <n v="1.7"/>
    <n v="3.3"/>
    <n v="0.51515151515151514"/>
    <n v="1.9"/>
    <n v="2.9"/>
    <n v="29"/>
    <n v="0.65517241379310343"/>
    <n v="0.5"/>
    <n v="0.5"/>
    <n v="1"/>
    <n v="1.1000000000000001"/>
    <n v="3.2"/>
    <n v="4.3"/>
    <n v="1.6"/>
    <n v="1.1000000000000001"/>
    <n v="0.7"/>
    <n v="0.7"/>
    <n v="1.5"/>
    <n v="9.5"/>
  </r>
  <r>
    <n v="1900"/>
    <x v="187"/>
    <x v="19"/>
    <x v="9"/>
    <x v="1"/>
    <x v="1"/>
    <n v="34"/>
    <n v="28.9"/>
    <n v="3.1"/>
    <n v="7.5"/>
    <n v="0.41333333333333333"/>
    <n v="1.7"/>
    <n v="4.8"/>
    <n v="0.35416666666666669"/>
    <n v="1.4"/>
    <n v="2.7"/>
    <n v="27"/>
    <n v="0.51851851851851849"/>
    <n v="1.4"/>
    <n v="1.5"/>
    <n v="0.93333333333333324"/>
    <n v="0.5"/>
    <n v="3.9"/>
    <n v="4.4000000000000004"/>
    <n v="8.4"/>
    <n v="1.5"/>
    <n v="0.2"/>
    <n v="1.7"/>
    <n v="1.8"/>
    <n v="9.4"/>
  </r>
  <r>
    <n v="1890"/>
    <x v="188"/>
    <x v="17"/>
    <x v="20"/>
    <x v="2"/>
    <x v="1"/>
    <n v="28"/>
    <n v="27.2"/>
    <n v="3.8"/>
    <n v="6.7"/>
    <n v="0.56716417910447758"/>
    <n v="0"/>
    <n v="0"/>
    <n v="0"/>
    <n v="3.8"/>
    <n v="6.7"/>
    <n v="67"/>
    <n v="0.56716417910447758"/>
    <n v="1.9"/>
    <n v="2.9"/>
    <n v="0.65517241379310343"/>
    <n v="3.9"/>
    <n v="4.5999999999999996"/>
    <n v="8.5"/>
    <n v="1.5"/>
    <n v="0.6"/>
    <n v="1.4"/>
    <n v="1.2"/>
    <n v="2.2999999999999998"/>
    <n v="9.4"/>
  </r>
  <r>
    <n v="1880"/>
    <x v="189"/>
    <x v="0"/>
    <x v="21"/>
    <x v="2"/>
    <x v="6"/>
    <n v="35"/>
    <n v="22.9"/>
    <n v="4.2"/>
    <n v="7.3"/>
    <n v="0.57534246575342474"/>
    <n v="0"/>
    <n v="0"/>
    <n v="0"/>
    <n v="4.2"/>
    <n v="7.3"/>
    <n v="73"/>
    <n v="0.57534246575342474"/>
    <n v="1"/>
    <n v="1.9"/>
    <n v="0.52631578947368418"/>
    <n v="3.3"/>
    <n v="5.7"/>
    <n v="9"/>
    <n v="1.3"/>
    <n v="0.6"/>
    <n v="0.9"/>
    <n v="0.9"/>
    <n v="2"/>
    <n v="9.4"/>
  </r>
  <r>
    <n v="1910"/>
    <x v="190"/>
    <x v="7"/>
    <x v="3"/>
    <x v="2"/>
    <x v="16"/>
    <n v="9"/>
    <n v="21.6"/>
    <n v="3.2"/>
    <n v="5.7"/>
    <n v="0.56140350877192979"/>
    <n v="0"/>
    <n v="0.1"/>
    <n v="0"/>
    <n v="3.2"/>
    <n v="5.6"/>
    <n v="56"/>
    <n v="0.57142857142857151"/>
    <n v="2.9"/>
    <n v="4.4000000000000004"/>
    <n v="0.65909090909090906"/>
    <n v="2.2999999999999998"/>
    <n v="5.3"/>
    <n v="7.6"/>
    <n v="1.4"/>
    <n v="0.3"/>
    <n v="1.3"/>
    <n v="1.7"/>
    <n v="2.6"/>
    <n v="9.3000000000000007"/>
  </r>
  <r>
    <n v="1920"/>
    <x v="191"/>
    <x v="10"/>
    <x v="13"/>
    <x v="0"/>
    <x v="10"/>
    <n v="8"/>
    <n v="26.8"/>
    <n v="3.1"/>
    <n v="7.9"/>
    <n v="0.39240506329113922"/>
    <n v="1.4"/>
    <n v="4.3"/>
    <n v="0.32558139534883718"/>
    <n v="1.7"/>
    <n v="3.6"/>
    <n v="36"/>
    <n v="0.47222222222222221"/>
    <n v="1.6"/>
    <n v="1.9"/>
    <n v="0.8421052631578948"/>
    <n v="1"/>
    <n v="2.2999999999999998"/>
    <n v="3.3"/>
    <n v="1.8"/>
    <n v="0.5"/>
    <n v="0"/>
    <n v="1"/>
    <n v="2.2999999999999998"/>
    <n v="9.3000000000000007"/>
  </r>
  <r>
    <n v="1940"/>
    <x v="192"/>
    <x v="5"/>
    <x v="29"/>
    <x v="1"/>
    <x v="0"/>
    <n v="0"/>
    <n v="16.100000000000001"/>
    <n v="3.3"/>
    <n v="7.9"/>
    <n v="0.41772151898734172"/>
    <n v="1.2"/>
    <n v="3.3"/>
    <n v="0.36363636363636365"/>
    <n v="2.1"/>
    <n v="4.5999999999999996"/>
    <n v="46"/>
    <n v="0.45652173913043481"/>
    <n v="1.4"/>
    <n v="2.2000000000000002"/>
    <n v="0.63636363636363624"/>
    <n v="0.3"/>
    <n v="1.8"/>
    <n v="2.2000000000000002"/>
    <n v="2.5"/>
    <n v="0.8"/>
    <n v="0.5"/>
    <n v="1.7"/>
    <n v="1"/>
    <n v="9.1999999999999993"/>
  </r>
  <r>
    <n v="1950"/>
    <x v="193"/>
    <x v="9"/>
    <x v="4"/>
    <x v="3"/>
    <x v="6"/>
    <n v="35"/>
    <n v="31.1"/>
    <n v="3.2"/>
    <n v="7.7"/>
    <n v="0.41558441558441561"/>
    <n v="1.5"/>
    <n v="4.9000000000000004"/>
    <n v="0.30612244897959179"/>
    <n v="1.7"/>
    <n v="2.7"/>
    <n v="27"/>
    <n v="0.62962962962962954"/>
    <n v="1.4"/>
    <n v="1.5"/>
    <n v="0.93333333333333324"/>
    <n v="0.3"/>
    <n v="1.7"/>
    <n v="2"/>
    <n v="2"/>
    <n v="1.7"/>
    <n v="0.7"/>
    <n v="0.8"/>
    <n v="2"/>
    <n v="9.1999999999999993"/>
  </r>
  <r>
    <n v="1980"/>
    <x v="194"/>
    <x v="1"/>
    <x v="1"/>
    <x v="3"/>
    <x v="1"/>
    <n v="10"/>
    <n v="20.100000000000001"/>
    <n v="3.6"/>
    <n v="7.6"/>
    <n v="0.47368421052631582"/>
    <n v="1.4"/>
    <n v="3.7"/>
    <n v="0.37837837837837834"/>
    <n v="2.1"/>
    <n v="4"/>
    <n v="40"/>
    <n v="0.52500000000000002"/>
    <n v="0.6"/>
    <n v="0.7"/>
    <n v="0.85714285714285721"/>
    <n v="0.9"/>
    <n v="2.4"/>
    <n v="3.3"/>
    <n v="1.4"/>
    <n v="0.9"/>
    <n v="0.3"/>
    <n v="0.8"/>
    <n v="1.1000000000000001"/>
    <n v="9.1999999999999993"/>
  </r>
  <r>
    <n v="1930"/>
    <x v="195"/>
    <x v="1"/>
    <x v="14"/>
    <x v="3"/>
    <x v="10"/>
    <n v="2"/>
    <n v="23.1"/>
    <n v="3.3"/>
    <n v="6.6"/>
    <n v="0.5"/>
    <n v="1.7"/>
    <n v="3.8"/>
    <n v="0.44736842105263158"/>
    <n v="1.6"/>
    <n v="2.8"/>
    <n v="28"/>
    <n v="0.57142857142857151"/>
    <n v="0.8"/>
    <n v="1.1000000000000001"/>
    <n v="0.72727272727272729"/>
    <n v="0.5"/>
    <n v="2.2999999999999998"/>
    <n v="2.8"/>
    <n v="2.4"/>
    <n v="0.8"/>
    <n v="0.3"/>
    <n v="1.4"/>
    <n v="1.6"/>
    <n v="9.1999999999999993"/>
  </r>
  <r>
    <n v="1970"/>
    <x v="196"/>
    <x v="0"/>
    <x v="22"/>
    <x v="1"/>
    <x v="16"/>
    <n v="6"/>
    <n v="21.2"/>
    <n v="2.9"/>
    <n v="7.9"/>
    <n v="0.36708860759493667"/>
    <n v="1.6"/>
    <n v="4.8"/>
    <n v="0.33333333333333337"/>
    <n v="1.3"/>
    <n v="3.1"/>
    <n v="31"/>
    <n v="0.41935483870967744"/>
    <n v="1.7"/>
    <n v="2"/>
    <n v="0.85"/>
    <n v="0.8"/>
    <n v="1.6"/>
    <n v="2.2999999999999998"/>
    <n v="3.8"/>
    <n v="1.3"/>
    <n v="0.3"/>
    <n v="1.9"/>
    <n v="1.7"/>
    <n v="9.1999999999999993"/>
  </r>
  <r>
    <n v="1960"/>
    <x v="197"/>
    <x v="5"/>
    <x v="26"/>
    <x v="4"/>
    <x v="15"/>
    <n v="6"/>
    <n v="22.7"/>
    <n v="3.2"/>
    <n v="6"/>
    <n v="0.53333333333333333"/>
    <n v="1"/>
    <n v="1.8"/>
    <n v="0.55555555555555558"/>
    <n v="2.2000000000000002"/>
    <n v="4.2"/>
    <n v="42"/>
    <n v="0.52380952380952384"/>
    <n v="1.8"/>
    <n v="2.2000000000000002"/>
    <n v="0.81818181818181812"/>
    <n v="0.7"/>
    <n v="3.3"/>
    <n v="4"/>
    <n v="1"/>
    <n v="0.7"/>
    <n v="0.3"/>
    <n v="0.8"/>
    <n v="4"/>
    <n v="9.1999999999999993"/>
  </r>
  <r>
    <n v="1990"/>
    <x v="198"/>
    <x v="10"/>
    <x v="29"/>
    <x v="0"/>
    <x v="5"/>
    <n v="32"/>
    <n v="30.9"/>
    <n v="3.4"/>
    <n v="8"/>
    <n v="0.42499999999999999"/>
    <n v="1.4"/>
    <n v="4.2"/>
    <n v="0.33333333333333331"/>
    <n v="2"/>
    <n v="3.8"/>
    <n v="38"/>
    <n v="0.52631578947368418"/>
    <n v="0.8"/>
    <n v="1.1000000000000001"/>
    <n v="0.72727272727272729"/>
    <n v="2.2999999999999998"/>
    <n v="3.4"/>
    <n v="5.7"/>
    <n v="1.9"/>
    <n v="1.3"/>
    <n v="0.5"/>
    <n v="1.4"/>
    <n v="2.9"/>
    <n v="9.1"/>
  </r>
  <r>
    <n v="2020"/>
    <x v="199"/>
    <x v="17"/>
    <x v="27"/>
    <x v="4"/>
    <x v="26"/>
    <n v="0"/>
    <n v="14.5"/>
    <n v="3.5"/>
    <n v="8.1"/>
    <n v="0.4320987654320988"/>
    <n v="0.9"/>
    <n v="3.6"/>
    <n v="0.25"/>
    <n v="2.6"/>
    <n v="4.5999999999999996"/>
    <n v="46"/>
    <n v="0.56521739130434789"/>
    <n v="1.3"/>
    <n v="1.7"/>
    <n v="0.76470588235294124"/>
    <n v="0.7"/>
    <n v="2"/>
    <n v="2.7"/>
    <n v="0.6"/>
    <n v="0.4"/>
    <n v="0.1"/>
    <n v="0.7"/>
    <n v="0.8"/>
    <n v="9.1"/>
  </r>
  <r>
    <n v="2010"/>
    <x v="200"/>
    <x v="4"/>
    <x v="2"/>
    <x v="3"/>
    <x v="10"/>
    <n v="0"/>
    <n v="20.9"/>
    <n v="3.2"/>
    <n v="7"/>
    <n v="0.45714285714285718"/>
    <n v="1.3"/>
    <n v="3.6"/>
    <n v="0.3611111111111111"/>
    <n v="1.9"/>
    <n v="3.4"/>
    <n v="34"/>
    <n v="0.55882352941176472"/>
    <n v="1.3"/>
    <n v="1.5"/>
    <n v="0.8666666666666667"/>
    <n v="0.3"/>
    <n v="1.8"/>
    <n v="2.2000000000000002"/>
    <n v="1.3"/>
    <n v="0.7"/>
    <n v="0.4"/>
    <n v="0.8"/>
    <n v="2.4"/>
    <n v="9.1"/>
  </r>
  <r>
    <n v="2000"/>
    <x v="201"/>
    <x v="9"/>
    <x v="6"/>
    <x v="1"/>
    <x v="10"/>
    <n v="6"/>
    <n v="22.7"/>
    <n v="2.7"/>
    <n v="7.1"/>
    <n v="0.38028169014084512"/>
    <n v="1.3"/>
    <n v="3.8"/>
    <n v="0.34210526315789475"/>
    <n v="1.4"/>
    <n v="3.3"/>
    <n v="33"/>
    <n v="0.42424242424242425"/>
    <n v="2.5"/>
    <n v="2.8"/>
    <n v="0.8928571428571429"/>
    <n v="0.2"/>
    <n v="1.9"/>
    <n v="2.2000000000000002"/>
    <n v="3.4"/>
    <n v="0.8"/>
    <n v="0.2"/>
    <n v="1"/>
    <n v="1.4"/>
    <n v="9.1"/>
  </r>
  <r>
    <n v="2030"/>
    <x v="202"/>
    <x v="18"/>
    <x v="25"/>
    <x v="1"/>
    <x v="5"/>
    <n v="23"/>
    <n v="30"/>
    <n v="3.4"/>
    <n v="8.3000000000000007"/>
    <n v="0.4096385542168674"/>
    <n v="1.5"/>
    <n v="4.3"/>
    <n v="0.34883720930232559"/>
    <n v="1.9"/>
    <n v="4"/>
    <n v="40"/>
    <n v="0.47499999999999998"/>
    <n v="0.7"/>
    <n v="0.8"/>
    <n v="0.87499999999999989"/>
    <n v="0.3"/>
    <n v="3.9"/>
    <n v="4.3"/>
    <n v="4"/>
    <n v="0.8"/>
    <n v="0.3"/>
    <n v="1.8"/>
    <n v="2.9"/>
    <n v="9"/>
  </r>
  <r>
    <n v="2060"/>
    <x v="203"/>
    <x v="1"/>
    <x v="8"/>
    <x v="3"/>
    <x v="14"/>
    <n v="15"/>
    <n v="24.5"/>
    <n v="3.4"/>
    <n v="8.1999999999999993"/>
    <n v="0.41463414634146345"/>
    <n v="1.6"/>
    <n v="5.4"/>
    <n v="0.29629629629629628"/>
    <n v="1.8"/>
    <n v="2.7"/>
    <n v="27"/>
    <n v="0.66666666666666663"/>
    <n v="0.5"/>
    <n v="0.7"/>
    <n v="0.7142857142857143"/>
    <n v="0.5"/>
    <n v="2.9"/>
    <n v="3.5"/>
    <n v="2"/>
    <n v="1"/>
    <n v="0.5"/>
    <n v="1"/>
    <n v="2.1"/>
    <n v="9"/>
  </r>
  <r>
    <n v="2080"/>
    <x v="204"/>
    <x v="2"/>
    <x v="11"/>
    <x v="4"/>
    <x v="9"/>
    <n v="20"/>
    <n v="30"/>
    <n v="3.2"/>
    <n v="7.5"/>
    <n v="0.42666666666666669"/>
    <n v="1.1000000000000001"/>
    <n v="2.9"/>
    <n v="0.37931034482758624"/>
    <n v="2.1"/>
    <n v="4.5999999999999996"/>
    <n v="46"/>
    <n v="0.45652173913043481"/>
    <n v="1.6"/>
    <n v="2.4"/>
    <n v="0.66666666666666674"/>
    <n v="1.4"/>
    <n v="2.9"/>
    <n v="4.3"/>
    <n v="2.1"/>
    <n v="1.1000000000000001"/>
    <n v="0.5"/>
    <n v="1.5"/>
    <n v="1.9"/>
    <n v="9"/>
  </r>
  <r>
    <n v="2040"/>
    <x v="205"/>
    <x v="3"/>
    <x v="4"/>
    <x v="4"/>
    <x v="5"/>
    <n v="25"/>
    <n v="25.5"/>
    <n v="3.4"/>
    <n v="7.8"/>
    <n v="0.4358974358974359"/>
    <n v="1.4"/>
    <n v="3.8"/>
    <n v="0.36842105263157893"/>
    <n v="2"/>
    <n v="4"/>
    <n v="40"/>
    <n v="0.5"/>
    <n v="0.8"/>
    <n v="1.1000000000000001"/>
    <n v="0.72727272727272729"/>
    <n v="1.1000000000000001"/>
    <n v="2.6"/>
    <n v="3.7"/>
    <n v="1.7"/>
    <n v="0.4"/>
    <n v="0.2"/>
    <n v="1"/>
    <n v="1.6"/>
    <n v="9"/>
  </r>
  <r>
    <n v="2070"/>
    <x v="206"/>
    <x v="1"/>
    <x v="22"/>
    <x v="2"/>
    <x v="14"/>
    <n v="1"/>
    <n v="14.9"/>
    <n v="3.2"/>
    <n v="6.1"/>
    <n v="0.52459016393442626"/>
    <n v="1.6"/>
    <n v="3.9"/>
    <n v="0.4102564102564103"/>
    <n v="1.5"/>
    <n v="2.2000000000000002"/>
    <n v="22"/>
    <n v="0.68181818181818177"/>
    <n v="1.1000000000000001"/>
    <n v="1.4"/>
    <n v="0.78571428571428581"/>
    <n v="0.6"/>
    <n v="2"/>
    <n v="2.6"/>
    <n v="0.8"/>
    <n v="0.3"/>
    <n v="1.1000000000000001"/>
    <n v="0.6"/>
    <n v="1.7"/>
    <n v="9"/>
  </r>
  <r>
    <n v="2050"/>
    <x v="207"/>
    <x v="18"/>
    <x v="16"/>
    <x v="4"/>
    <x v="27"/>
    <n v="0"/>
    <n v="14"/>
    <n v="4"/>
    <n v="9"/>
    <n v="0.44444444444444442"/>
    <n v="0"/>
    <n v="2"/>
    <n v="0"/>
    <n v="4"/>
    <n v="7"/>
    <n v="70"/>
    <n v="0.5714285714285714"/>
    <n v="1"/>
    <n v="1"/>
    <n v="1"/>
    <n v="1"/>
    <n v="3"/>
    <n v="4"/>
    <n v="0"/>
    <n v="0"/>
    <n v="0"/>
    <n v="1"/>
    <n v="3"/>
    <n v="9"/>
  </r>
  <r>
    <n v="2100"/>
    <x v="208"/>
    <x v="0"/>
    <x v="7"/>
    <x v="2"/>
    <x v="17"/>
    <n v="23"/>
    <n v="24.3"/>
    <n v="3"/>
    <n v="6.7"/>
    <n v="0.44776119402985076"/>
    <n v="0.7"/>
    <n v="2.4"/>
    <n v="0.29166666666666669"/>
    <n v="2.2999999999999998"/>
    <n v="4.3"/>
    <n v="43"/>
    <n v="0.53488372093023251"/>
    <n v="2"/>
    <n v="2.8"/>
    <n v="0.7142857142857143"/>
    <n v="1.9"/>
    <n v="7.6"/>
    <n v="9.5"/>
    <n v="1.9"/>
    <n v="1"/>
    <n v="0.7"/>
    <n v="2.2999999999999998"/>
    <n v="3"/>
    <n v="8.8000000000000007"/>
  </r>
  <r>
    <n v="2090"/>
    <x v="209"/>
    <x v="20"/>
    <x v="5"/>
    <x v="2"/>
    <x v="9"/>
    <n v="24"/>
    <n v="27.9"/>
    <n v="3.2"/>
    <n v="7.6"/>
    <n v="0.4210526315789474"/>
    <n v="2"/>
    <n v="5.5"/>
    <n v="0.36363636363636365"/>
    <n v="1.3"/>
    <n v="2.1"/>
    <n v="21"/>
    <n v="0.61904761904761907"/>
    <n v="0.4"/>
    <n v="0.4"/>
    <n v="1"/>
    <n v="0.9"/>
    <n v="4.4000000000000004"/>
    <n v="5.3"/>
    <n v="2.2999999999999998"/>
    <n v="0.7"/>
    <n v="0.9"/>
    <n v="0.9"/>
    <n v="1.7"/>
    <n v="8.8000000000000007"/>
  </r>
  <r>
    <n v="2120"/>
    <x v="210"/>
    <x v="12"/>
    <x v="23"/>
    <x v="0"/>
    <x v="7"/>
    <n v="27"/>
    <n v="28.6"/>
    <n v="3"/>
    <n v="7.1"/>
    <n v="0.42253521126760568"/>
    <n v="1.4"/>
    <n v="3.8"/>
    <n v="0.36842105263157893"/>
    <n v="1.6"/>
    <n v="3.3"/>
    <n v="33"/>
    <n v="0.48484848484848492"/>
    <n v="1.3"/>
    <n v="2.1"/>
    <n v="0.61904761904761907"/>
    <n v="1"/>
    <n v="5.2"/>
    <n v="6.3"/>
    <n v="5.7"/>
    <n v="1"/>
    <n v="1.1000000000000001"/>
    <n v="2.5"/>
    <n v="3.2"/>
    <n v="8.6999999999999993"/>
  </r>
  <r>
    <n v="2130"/>
    <x v="211"/>
    <x v="4"/>
    <x v="2"/>
    <x v="4"/>
    <x v="10"/>
    <n v="12"/>
    <n v="23.9"/>
    <n v="3.2"/>
    <n v="6.5"/>
    <n v="0.49230769230769234"/>
    <n v="0.7"/>
    <n v="2.1"/>
    <n v="0.33333333333333331"/>
    <n v="2.5"/>
    <n v="4.4000000000000004"/>
    <n v="44"/>
    <n v="0.56818181818181812"/>
    <n v="1.6"/>
    <n v="2"/>
    <n v="0.8"/>
    <n v="0.9"/>
    <n v="2.2000000000000002"/>
    <n v="3.2"/>
    <n v="1.4"/>
    <n v="0.8"/>
    <n v="1"/>
    <n v="0.8"/>
    <n v="1.9"/>
    <n v="8.6999999999999993"/>
  </r>
  <r>
    <n v="2110"/>
    <x v="212"/>
    <x v="17"/>
    <x v="13"/>
    <x v="0"/>
    <x v="19"/>
    <n v="6"/>
    <n v="20.399999999999999"/>
    <n v="2.9"/>
    <n v="7"/>
    <n v="0.41428571428571426"/>
    <n v="1.9"/>
    <n v="5"/>
    <n v="0.38"/>
    <n v="1"/>
    <n v="2.1"/>
    <n v="21"/>
    <n v="0.47619047619047616"/>
    <n v="1"/>
    <n v="1.2"/>
    <n v="0.83333333333333337"/>
    <n v="0.9"/>
    <n v="2.7"/>
    <n v="3.6"/>
    <n v="0.7"/>
    <n v="0.3"/>
    <n v="0.5"/>
    <n v="0.8"/>
    <n v="2.7"/>
    <n v="8.6999999999999993"/>
  </r>
  <r>
    <n v="2140"/>
    <x v="213"/>
    <x v="8"/>
    <x v="15"/>
    <x v="0"/>
    <x v="17"/>
    <n v="9"/>
    <n v="20.9"/>
    <n v="2.8"/>
    <n v="6.2"/>
    <n v="0.45161290322580638"/>
    <n v="1.2"/>
    <n v="3.2"/>
    <n v="0.37499999999999994"/>
    <n v="1.6"/>
    <n v="3"/>
    <n v="30"/>
    <n v="0.53333333333333333"/>
    <n v="1.8"/>
    <n v="2.2000000000000002"/>
    <n v="0.81818181818181812"/>
    <n v="0.5"/>
    <n v="3.2"/>
    <n v="3.7"/>
    <n v="2"/>
    <n v="0.8"/>
    <n v="0.1"/>
    <n v="0.8"/>
    <n v="1.4"/>
    <n v="8.6"/>
  </r>
  <r>
    <n v="2150"/>
    <x v="214"/>
    <x v="17"/>
    <x v="6"/>
    <x v="2"/>
    <x v="9"/>
    <n v="20"/>
    <n v="24.1"/>
    <n v="3.6"/>
    <n v="5.0999999999999996"/>
    <n v="0.70588235294117652"/>
    <n v="0"/>
    <n v="0"/>
    <n v="0"/>
    <n v="3.6"/>
    <n v="5.0999999999999996"/>
    <n v="51"/>
    <n v="0.70588235294117652"/>
    <n v="1.4"/>
    <n v="2.2999999999999998"/>
    <n v="0.60869565217391308"/>
    <n v="3"/>
    <n v="4.8"/>
    <n v="7.8"/>
    <n v="2.6"/>
    <n v="0.6"/>
    <n v="1.7"/>
    <n v="1.2"/>
    <n v="2.9"/>
    <n v="8.6"/>
  </r>
  <r>
    <n v="2170"/>
    <x v="215"/>
    <x v="9"/>
    <x v="19"/>
    <x v="0"/>
    <x v="1"/>
    <n v="1"/>
    <n v="20.6"/>
    <n v="3.3"/>
    <n v="6.9"/>
    <n v="0.47826086956521735"/>
    <n v="1.7"/>
    <n v="4.4000000000000004"/>
    <n v="0.3863636363636363"/>
    <n v="1.6"/>
    <n v="2.5"/>
    <n v="25"/>
    <n v="0.64"/>
    <n v="0.4"/>
    <n v="0.5"/>
    <n v="0.8"/>
    <n v="0.7"/>
    <n v="3.2"/>
    <n v="3.9"/>
    <n v="1.5"/>
    <n v="0.4"/>
    <n v="0.1"/>
    <n v="1"/>
    <n v="2.2999999999999998"/>
    <n v="8.6"/>
  </r>
  <r>
    <n v="2180"/>
    <x v="216"/>
    <x v="3"/>
    <x v="13"/>
    <x v="4"/>
    <x v="3"/>
    <n v="7"/>
    <n v="21.7"/>
    <n v="3"/>
    <n v="7.5"/>
    <n v="0.4"/>
    <n v="0.9"/>
    <n v="3.2"/>
    <n v="0.28125"/>
    <n v="2.1"/>
    <n v="4.3"/>
    <n v="43"/>
    <n v="0.48837209302325585"/>
    <n v="1.7"/>
    <n v="2.1"/>
    <n v="0.80952380952380942"/>
    <n v="1.1000000000000001"/>
    <n v="3.4"/>
    <n v="4.5"/>
    <n v="1.1000000000000001"/>
    <n v="0.9"/>
    <n v="0.4"/>
    <n v="0.9"/>
    <n v="2.6"/>
    <n v="8.6"/>
  </r>
  <r>
    <n v="2160"/>
    <x v="217"/>
    <x v="11"/>
    <x v="21"/>
    <x v="3"/>
    <x v="0"/>
    <n v="2"/>
    <n v="18.8"/>
    <n v="2.5"/>
    <n v="5.6"/>
    <n v="0.44642857142857145"/>
    <n v="2.1"/>
    <n v="4.7"/>
    <n v="0.44680851063829785"/>
    <n v="0.4"/>
    <n v="0.9"/>
    <n v="9"/>
    <n v="0.44444444444444448"/>
    <n v="1.6"/>
    <n v="1.9"/>
    <n v="0.8421052631578948"/>
    <n v="0.2"/>
    <n v="1.2"/>
    <n v="1.4"/>
    <n v="1.5"/>
    <n v="0.7"/>
    <n v="0.3"/>
    <n v="0.6"/>
    <n v="1.8"/>
    <n v="8.6"/>
  </r>
  <r>
    <n v="2190"/>
    <x v="218"/>
    <x v="8"/>
    <x v="4"/>
    <x v="1"/>
    <x v="10"/>
    <n v="3"/>
    <n v="24"/>
    <n v="3"/>
    <n v="7.2"/>
    <n v="0.41666666666666663"/>
    <n v="0.6"/>
    <n v="2.4"/>
    <n v="0.25"/>
    <n v="2.2999999999999998"/>
    <n v="4.8"/>
    <n v="48"/>
    <n v="0.47916666666666663"/>
    <n v="1.9"/>
    <n v="2.6"/>
    <n v="0.73076923076923073"/>
    <n v="0.6"/>
    <n v="2.1"/>
    <n v="2.7"/>
    <n v="3.5"/>
    <n v="0.9"/>
    <n v="0.7"/>
    <n v="2.2000000000000002"/>
    <n v="2.2999999999999998"/>
    <n v="8.5"/>
  </r>
  <r>
    <n v="2200"/>
    <x v="219"/>
    <x v="10"/>
    <x v="23"/>
    <x v="2"/>
    <x v="5"/>
    <n v="25"/>
    <n v="18.8"/>
    <n v="3.7"/>
    <n v="6.2"/>
    <n v="0.59677419354838712"/>
    <n v="0"/>
    <n v="0"/>
    <n v="0"/>
    <n v="3.7"/>
    <n v="6.2"/>
    <n v="62"/>
    <n v="0.59677419354838712"/>
    <n v="1.1000000000000001"/>
    <n v="1.8"/>
    <n v="0.61111111111111116"/>
    <n v="2.1"/>
    <n v="3.8"/>
    <n v="5.8"/>
    <n v="2.1"/>
    <n v="0.3"/>
    <n v="0.9"/>
    <n v="0.8"/>
    <n v="1.3"/>
    <n v="8.5"/>
  </r>
  <r>
    <n v="2230"/>
    <x v="220"/>
    <x v="5"/>
    <x v="20"/>
    <x v="3"/>
    <x v="28"/>
    <n v="0"/>
    <n v="21"/>
    <n v="3.3"/>
    <n v="9.1"/>
    <n v="0.36263736263736263"/>
    <n v="1"/>
    <n v="3.4"/>
    <n v="0.29411764705882354"/>
    <n v="2.2999999999999998"/>
    <n v="5.8"/>
    <n v="58"/>
    <n v="0.39655172413793099"/>
    <n v="0.9"/>
    <n v="1.4"/>
    <n v="0.6428571428571429"/>
    <n v="0.8"/>
    <n v="1.8"/>
    <n v="2.5"/>
    <n v="2.2999999999999998"/>
    <n v="0.1"/>
    <n v="0.5"/>
    <n v="1"/>
    <n v="1.1000000000000001"/>
    <n v="8.4"/>
  </r>
  <r>
    <n v="2210"/>
    <x v="221"/>
    <x v="3"/>
    <x v="15"/>
    <x v="4"/>
    <x v="12"/>
    <n v="4"/>
    <n v="21.4"/>
    <n v="3.1"/>
    <n v="7.5"/>
    <n v="0.41333333333333333"/>
    <n v="0.5"/>
    <n v="2"/>
    <n v="0.25"/>
    <n v="2.6"/>
    <n v="5.5"/>
    <n v="55"/>
    <n v="0.47272727272727272"/>
    <n v="1.7"/>
    <n v="2.2999999999999998"/>
    <n v="0.73913043478260876"/>
    <n v="1.3"/>
    <n v="3.3"/>
    <n v="4.5999999999999996"/>
    <n v="2.2999999999999998"/>
    <n v="1.1000000000000001"/>
    <n v="0.1"/>
    <n v="1.4"/>
    <n v="1.6"/>
    <n v="8.4"/>
  </r>
  <r>
    <n v="2220"/>
    <x v="222"/>
    <x v="11"/>
    <x v="22"/>
    <x v="3"/>
    <x v="17"/>
    <n v="0"/>
    <n v="21"/>
    <n v="2.7"/>
    <n v="6.1"/>
    <n v="0.44262295081967218"/>
    <n v="2"/>
    <n v="4.4000000000000004"/>
    <n v="0.45454545454545453"/>
    <n v="0.7"/>
    <n v="1.7"/>
    <n v="17"/>
    <n v="0.41176470588235292"/>
    <n v="1.1000000000000001"/>
    <n v="1.3"/>
    <n v="0.84615384615384615"/>
    <n v="0.6"/>
    <n v="2.2999999999999998"/>
    <n v="2.9"/>
    <n v="3.2"/>
    <n v="0.7"/>
    <n v="0.1"/>
    <n v="0.9"/>
    <n v="0.8"/>
    <n v="8.4"/>
  </r>
  <r>
    <n v="2250"/>
    <x v="223"/>
    <x v="17"/>
    <x v="18"/>
    <x v="3"/>
    <x v="18"/>
    <n v="7"/>
    <n v="20.100000000000001"/>
    <n v="3.1"/>
    <n v="7.7"/>
    <n v="0.40259740259740262"/>
    <n v="1.1000000000000001"/>
    <n v="3.7"/>
    <n v="0.29729729729729731"/>
    <n v="2"/>
    <n v="4"/>
    <n v="40"/>
    <n v="0.5"/>
    <n v="1.2"/>
    <n v="1.7"/>
    <n v="0.70588235294117652"/>
    <n v="0.9"/>
    <n v="1.9"/>
    <n v="2.8"/>
    <n v="1.6"/>
    <n v="0.5"/>
    <n v="0.3"/>
    <n v="0.9"/>
    <n v="2.1"/>
    <n v="8.3000000000000007"/>
  </r>
  <r>
    <n v="2240"/>
    <x v="224"/>
    <x v="2"/>
    <x v="3"/>
    <x v="4"/>
    <x v="14"/>
    <n v="7"/>
    <n v="25.8"/>
    <n v="3.2"/>
    <n v="7.3"/>
    <n v="0.43835616438356168"/>
    <n v="1.1000000000000001"/>
    <n v="3.5"/>
    <n v="0.31428571428571433"/>
    <n v="2.1"/>
    <n v="3.8"/>
    <n v="38"/>
    <n v="0.55263157894736847"/>
    <n v="0.8"/>
    <n v="1.3"/>
    <n v="0.61538461538461542"/>
    <n v="1.1000000000000001"/>
    <n v="3.7"/>
    <n v="4.7"/>
    <n v="2.2999999999999998"/>
    <n v="1.1000000000000001"/>
    <n v="0.7"/>
    <n v="1.1000000000000001"/>
    <n v="2"/>
    <n v="8.3000000000000007"/>
  </r>
  <r>
    <n v="2260"/>
    <x v="225"/>
    <x v="10"/>
    <x v="13"/>
    <x v="0"/>
    <x v="24"/>
    <n v="0"/>
    <n v="16.100000000000001"/>
    <n v="2.7"/>
    <n v="6.1"/>
    <n v="0.44262295081967218"/>
    <n v="0.6"/>
    <n v="2"/>
    <n v="0.3"/>
    <n v="2.1"/>
    <n v="4.0999999999999996"/>
    <n v="41"/>
    <n v="0.51219512195121952"/>
    <n v="2.2999999999999998"/>
    <n v="2.7"/>
    <n v="0.85185185185185175"/>
    <n v="0.3"/>
    <n v="2.5"/>
    <n v="2.8"/>
    <n v="1.2"/>
    <n v="0.4"/>
    <n v="0.3"/>
    <n v="1.2"/>
    <n v="2.2999999999999998"/>
    <n v="8.3000000000000007"/>
  </r>
  <r>
    <n v="2280"/>
    <x v="226"/>
    <x v="5"/>
    <x v="1"/>
    <x v="3"/>
    <x v="5"/>
    <n v="10"/>
    <n v="20.100000000000001"/>
    <n v="2.9"/>
    <n v="7.4"/>
    <n v="0.39189189189189189"/>
    <n v="2"/>
    <n v="5.8"/>
    <n v="0.34482758620689657"/>
    <n v="0.9"/>
    <n v="1.6"/>
    <n v="16"/>
    <n v="0.5625"/>
    <n v="0.4"/>
    <n v="0.5"/>
    <n v="0.8"/>
    <n v="0.5"/>
    <n v="2.1"/>
    <n v="2.6"/>
    <n v="1.3"/>
    <n v="0.8"/>
    <n v="0.2"/>
    <n v="0.4"/>
    <n v="1.5"/>
    <n v="8.1999999999999993"/>
  </r>
  <r>
    <n v="2270"/>
    <x v="227"/>
    <x v="21"/>
    <x v="14"/>
    <x v="1"/>
    <x v="7"/>
    <n v="29"/>
    <n v="25"/>
    <n v="2.6"/>
    <n v="7.3"/>
    <n v="0.35616438356164387"/>
    <n v="1.9"/>
    <n v="5.0999999999999996"/>
    <n v="0.37254901960784315"/>
    <n v="0.7"/>
    <n v="2.2000000000000002"/>
    <n v="22"/>
    <n v="0.31818181818181812"/>
    <n v="1.2"/>
    <n v="1.3"/>
    <n v="0.92307692307692302"/>
    <n v="0.5"/>
    <n v="2.2000000000000002"/>
    <n v="2.7"/>
    <n v="4.4000000000000004"/>
    <n v="1.4"/>
    <n v="0.2"/>
    <n v="1.2"/>
    <n v="1.6"/>
    <n v="8.1999999999999993"/>
  </r>
  <r>
    <n v="2290"/>
    <x v="228"/>
    <x v="3"/>
    <x v="22"/>
    <x v="0"/>
    <x v="1"/>
    <n v="0"/>
    <n v="21.9"/>
    <n v="2.9"/>
    <n v="5.8"/>
    <n v="0.5"/>
    <n v="1"/>
    <n v="2.1"/>
    <n v="0.47619047619047616"/>
    <n v="1.9"/>
    <n v="3.6"/>
    <n v="36"/>
    <n v="0.52777777777777779"/>
    <n v="1.4"/>
    <n v="2.1"/>
    <n v="0.66666666666666663"/>
    <n v="1.5"/>
    <n v="3"/>
    <n v="4.5"/>
    <n v="3.2"/>
    <n v="0.9"/>
    <n v="0.5"/>
    <n v="1.6"/>
    <n v="2.1"/>
    <n v="8.1"/>
  </r>
  <r>
    <n v="2300"/>
    <x v="229"/>
    <x v="4"/>
    <x v="23"/>
    <x v="3"/>
    <x v="9"/>
    <n v="4"/>
    <n v="15.9"/>
    <n v="2.7"/>
    <n v="6.1"/>
    <n v="0.44262295081967218"/>
    <n v="1.4"/>
    <n v="3.7"/>
    <n v="0.37837837837837834"/>
    <n v="1.3"/>
    <n v="2.4"/>
    <n v="24"/>
    <n v="0.54166666666666674"/>
    <n v="1.1000000000000001"/>
    <n v="1.4"/>
    <n v="0.78571428571428581"/>
    <n v="0.4"/>
    <n v="1.4"/>
    <n v="1.8"/>
    <n v="0.8"/>
    <n v="0.4"/>
    <n v="0.2"/>
    <n v="0.8"/>
    <n v="1.2"/>
    <n v="8"/>
  </r>
  <r>
    <n v="2310"/>
    <x v="230"/>
    <x v="8"/>
    <x v="23"/>
    <x v="3"/>
    <x v="2"/>
    <n v="8"/>
    <n v="24.2"/>
    <n v="3.1"/>
    <n v="7.7"/>
    <n v="0.40259740259740262"/>
    <n v="1"/>
    <n v="3.5"/>
    <n v="0.2857142857142857"/>
    <n v="2.1"/>
    <n v="4.2"/>
    <n v="42"/>
    <n v="0.5"/>
    <n v="0.7"/>
    <n v="1"/>
    <n v="0.7"/>
    <n v="1"/>
    <n v="3.5"/>
    <n v="4.5"/>
    <n v="3.2"/>
    <n v="1"/>
    <n v="0.2"/>
    <n v="1"/>
    <n v="1.5"/>
    <n v="8"/>
  </r>
  <r>
    <n v="2320"/>
    <x v="231"/>
    <x v="7"/>
    <x v="5"/>
    <x v="0"/>
    <x v="12"/>
    <n v="6"/>
    <n v="21.6"/>
    <n v="2.9"/>
    <n v="6.6"/>
    <n v="0.43939393939393939"/>
    <n v="2.1"/>
    <n v="5.6"/>
    <n v="0.37500000000000006"/>
    <n v="0.8"/>
    <n v="1"/>
    <n v="10"/>
    <n v="0.8"/>
    <n v="0.1"/>
    <n v="0.1"/>
    <n v="1"/>
    <n v="0.8"/>
    <n v="2.4"/>
    <n v="3.1"/>
    <n v="1.1000000000000001"/>
    <n v="0.8"/>
    <n v="0.2"/>
    <n v="0.3"/>
    <n v="1.1000000000000001"/>
    <n v="7.9"/>
  </r>
  <r>
    <n v="2340"/>
    <x v="232"/>
    <x v="8"/>
    <x v="28"/>
    <x v="4"/>
    <x v="0"/>
    <n v="0"/>
    <n v="16.8"/>
    <n v="2.8"/>
    <n v="6.2"/>
    <n v="0.45161290322580638"/>
    <n v="1.5"/>
    <n v="3.8"/>
    <n v="0.39473684210526316"/>
    <n v="1.3"/>
    <n v="2.2999999999999998"/>
    <n v="23"/>
    <n v="0.56521739130434789"/>
    <n v="0.8"/>
    <n v="0.9"/>
    <n v="0.88888888888888895"/>
    <n v="0.6"/>
    <n v="2"/>
    <n v="2.6"/>
    <n v="1.3"/>
    <n v="0.6"/>
    <n v="0.1"/>
    <n v="1.4"/>
    <n v="1.2"/>
    <n v="7.8"/>
  </r>
  <r>
    <n v="2330"/>
    <x v="233"/>
    <x v="8"/>
    <x v="10"/>
    <x v="3"/>
    <x v="10"/>
    <n v="12"/>
    <n v="22.6"/>
    <n v="2.5"/>
    <n v="5.4"/>
    <n v="0.46296296296296291"/>
    <n v="1"/>
    <n v="2.8"/>
    <n v="0.35714285714285715"/>
    <n v="1.4"/>
    <n v="2.7"/>
    <n v="27"/>
    <n v="0.51851851851851849"/>
    <n v="1.9"/>
    <n v="2.2000000000000002"/>
    <n v="0.86363636363636354"/>
    <n v="0.7"/>
    <n v="1.7"/>
    <n v="2.4"/>
    <n v="1.3"/>
    <n v="0.9"/>
    <n v="0.4"/>
    <n v="0.7"/>
    <n v="1.6"/>
    <n v="7.8"/>
  </r>
  <r>
    <n v="2350"/>
    <x v="234"/>
    <x v="10"/>
    <x v="24"/>
    <x v="2"/>
    <x v="2"/>
    <n v="1"/>
    <n v="15.4"/>
    <n v="2.8"/>
    <n v="6.1"/>
    <n v="0.45901639344262296"/>
    <n v="1.1000000000000001"/>
    <n v="3.3"/>
    <n v="0.33333333333333337"/>
    <n v="1.7"/>
    <n v="2.8"/>
    <n v="28"/>
    <n v="0.60714285714285721"/>
    <n v="1.1000000000000001"/>
    <n v="1.4"/>
    <n v="0.78571428571428581"/>
    <n v="1.3"/>
    <n v="4.0999999999999996"/>
    <n v="5.4"/>
    <n v="0.7"/>
    <n v="0.4"/>
    <n v="0.7"/>
    <n v="0.6"/>
    <n v="1.6"/>
    <n v="7.8"/>
  </r>
  <r>
    <n v="2370"/>
    <x v="235"/>
    <x v="7"/>
    <x v="28"/>
    <x v="4"/>
    <x v="21"/>
    <n v="5"/>
    <n v="16.7"/>
    <n v="2.7"/>
    <n v="6.7"/>
    <n v="0.40298507462686567"/>
    <n v="1.9"/>
    <n v="5.0999999999999996"/>
    <n v="0.37254901960784315"/>
    <n v="0.8"/>
    <n v="1.6"/>
    <n v="16"/>
    <n v="0.5"/>
    <n v="0.4"/>
    <n v="0.6"/>
    <n v="0.66666666666666674"/>
    <n v="0.1"/>
    <n v="1.4"/>
    <n v="1.5"/>
    <n v="1.3"/>
    <n v="0.8"/>
    <n v="0.2"/>
    <n v="1.4"/>
    <n v="1"/>
    <n v="7.7"/>
  </r>
  <r>
    <n v="2360"/>
    <x v="236"/>
    <x v="5"/>
    <x v="0"/>
    <x v="3"/>
    <x v="2"/>
    <n v="4"/>
    <n v="21.6"/>
    <n v="2.6"/>
    <n v="5.8"/>
    <n v="0.44827586206896552"/>
    <n v="2.2999999999999998"/>
    <n v="5.0999999999999996"/>
    <n v="0.45098039215686275"/>
    <n v="0.3"/>
    <n v="0.6"/>
    <n v="6"/>
    <n v="0.5"/>
    <n v="0.3"/>
    <n v="0.3"/>
    <n v="1"/>
    <n v="0.2"/>
    <n v="2.1"/>
    <n v="2.2999999999999998"/>
    <n v="1.3"/>
    <n v="0.5"/>
    <n v="0.1"/>
    <n v="0.6"/>
    <n v="2"/>
    <n v="7.7"/>
  </r>
  <r>
    <n v="2380"/>
    <x v="237"/>
    <x v="5"/>
    <x v="4"/>
    <x v="2"/>
    <x v="17"/>
    <n v="19"/>
    <n v="24.8"/>
    <n v="2.7"/>
    <n v="6"/>
    <n v="0.45"/>
    <n v="0.3"/>
    <n v="2"/>
    <n v="0.15"/>
    <n v="2.4"/>
    <n v="4"/>
    <n v="40"/>
    <n v="0.6"/>
    <n v="1.8"/>
    <n v="2.6"/>
    <n v="0.69230769230769229"/>
    <n v="1.6"/>
    <n v="5.7"/>
    <n v="7.3"/>
    <n v="2.1"/>
    <n v="0.7"/>
    <n v="0.7"/>
    <n v="0.8"/>
    <n v="2.5"/>
    <n v="7.6"/>
  </r>
  <r>
    <n v="2390"/>
    <x v="238"/>
    <x v="10"/>
    <x v="16"/>
    <x v="1"/>
    <x v="29"/>
    <n v="0"/>
    <n v="11.5"/>
    <n v="2.4"/>
    <n v="6.2"/>
    <n v="0.38709677419354838"/>
    <n v="1.7"/>
    <n v="4.3"/>
    <n v="0.39534883720930231"/>
    <n v="0.6"/>
    <n v="1.9"/>
    <n v="19"/>
    <n v="0.31578947368421051"/>
    <n v="1.2"/>
    <n v="1.4"/>
    <n v="0.85714285714285721"/>
    <n v="0.2"/>
    <n v="0.9"/>
    <n v="1.1000000000000001"/>
    <n v="1.3"/>
    <n v="0.9"/>
    <n v="0.3"/>
    <n v="1.1000000000000001"/>
    <n v="1.2"/>
    <n v="7.6"/>
  </r>
  <r>
    <n v="2410"/>
    <x v="239"/>
    <x v="9"/>
    <x v="3"/>
    <x v="1"/>
    <x v="3"/>
    <n v="11"/>
    <n v="22.1"/>
    <n v="2.7"/>
    <n v="8.1999999999999993"/>
    <n v="0.3292682926829269"/>
    <n v="1.3"/>
    <n v="3.9"/>
    <n v="0.33333333333333337"/>
    <n v="1.4"/>
    <n v="4.3"/>
    <n v="43"/>
    <n v="0.32558139534883718"/>
    <n v="0.8"/>
    <n v="1"/>
    <n v="0.8"/>
    <n v="0.7"/>
    <n v="1.9"/>
    <n v="2.5"/>
    <n v="3.8"/>
    <n v="0.6"/>
    <n v="0"/>
    <n v="2.2000000000000002"/>
    <n v="1.1000000000000001"/>
    <n v="7.6"/>
  </r>
  <r>
    <n v="2400"/>
    <x v="240"/>
    <x v="4"/>
    <x v="13"/>
    <x v="3"/>
    <x v="5"/>
    <n v="13"/>
    <n v="20.100000000000001"/>
    <n v="2.8"/>
    <n v="7.8"/>
    <n v="0.35897435897435898"/>
    <n v="1.3"/>
    <n v="4.5999999999999996"/>
    <n v="0.28260869565217395"/>
    <n v="1.5"/>
    <n v="3.2"/>
    <n v="32"/>
    <n v="0.46875"/>
    <n v="0.6"/>
    <n v="0.8"/>
    <n v="0.74999999999999989"/>
    <n v="0.7"/>
    <n v="2.6"/>
    <n v="3.3"/>
    <n v="1.2"/>
    <n v="0.7"/>
    <n v="0.3"/>
    <n v="1.2"/>
    <n v="2.5"/>
    <n v="7.6"/>
  </r>
  <r>
    <n v="2440"/>
    <x v="241"/>
    <x v="0"/>
    <x v="0"/>
    <x v="4"/>
    <x v="5"/>
    <n v="26"/>
    <n v="25.7"/>
    <n v="2.7"/>
    <n v="6"/>
    <n v="0.45"/>
    <n v="1.7"/>
    <n v="3.7"/>
    <n v="0.45945945945945943"/>
    <n v="1"/>
    <n v="2.2999999999999998"/>
    <n v="23"/>
    <n v="0.43478260869565222"/>
    <n v="0.4"/>
    <n v="0.6"/>
    <n v="0.66666666666666674"/>
    <n v="0.7"/>
    <n v="3.3"/>
    <n v="4"/>
    <n v="1.7"/>
    <n v="0.9"/>
    <n v="0.2"/>
    <n v="1.2"/>
    <n v="2"/>
    <n v="7.5"/>
  </r>
  <r>
    <n v="2430"/>
    <x v="242"/>
    <x v="7"/>
    <x v="3"/>
    <x v="3"/>
    <x v="28"/>
    <n v="0"/>
    <n v="19"/>
    <n v="3"/>
    <n v="5.6"/>
    <n v="0.5357142857142857"/>
    <n v="1.1000000000000001"/>
    <n v="2.5"/>
    <n v="0.44000000000000006"/>
    <n v="1.9"/>
    <n v="3.1"/>
    <n v="31"/>
    <n v="0.61290322580645151"/>
    <n v="0.4"/>
    <n v="0.5"/>
    <n v="0.8"/>
    <n v="0.8"/>
    <n v="2.1"/>
    <n v="2.9"/>
    <n v="0.6"/>
    <n v="0.6"/>
    <n v="0.6"/>
    <n v="0.8"/>
    <n v="1.8"/>
    <n v="7.5"/>
  </r>
  <r>
    <n v="2420"/>
    <x v="243"/>
    <x v="10"/>
    <x v="3"/>
    <x v="3"/>
    <x v="14"/>
    <n v="30"/>
    <n v="29"/>
    <n v="2.7"/>
    <n v="6.4"/>
    <n v="0.421875"/>
    <n v="1.5"/>
    <n v="3.6"/>
    <n v="0.41666666666666663"/>
    <n v="1.2"/>
    <n v="2.8"/>
    <n v="28"/>
    <n v="0.4285714285714286"/>
    <n v="0.7"/>
    <n v="1.1000000000000001"/>
    <n v="0.63636363636363624"/>
    <n v="1.1000000000000001"/>
    <n v="1.6"/>
    <n v="2.7"/>
    <n v="1.5"/>
    <n v="0.9"/>
    <n v="0.4"/>
    <n v="1"/>
    <n v="3.1"/>
    <n v="7.5"/>
  </r>
  <r>
    <n v="2450"/>
    <x v="244"/>
    <x v="11"/>
    <x v="22"/>
    <x v="0"/>
    <x v="5"/>
    <n v="18"/>
    <n v="18.5"/>
    <n v="3.3"/>
    <n v="5.5"/>
    <n v="0.6"/>
    <n v="0"/>
    <n v="0.5"/>
    <n v="0"/>
    <n v="3.3"/>
    <n v="5"/>
    <n v="50"/>
    <n v="0.65999999999999992"/>
    <n v="0.8"/>
    <n v="1.2"/>
    <n v="0.66666666666666674"/>
    <n v="1.8"/>
    <n v="3.4"/>
    <n v="5.2"/>
    <n v="1"/>
    <n v="0.8"/>
    <n v="0.5"/>
    <n v="0.5"/>
    <n v="2.1"/>
    <n v="7.4"/>
  </r>
  <r>
    <n v="2460"/>
    <x v="245"/>
    <x v="8"/>
    <x v="25"/>
    <x v="3"/>
    <x v="9"/>
    <n v="6"/>
    <n v="25.4"/>
    <n v="2.6"/>
    <n v="7.4"/>
    <n v="0.35135135135135137"/>
    <n v="1.3"/>
    <n v="4.9000000000000004"/>
    <n v="0.26530612244897961"/>
    <n v="1.3"/>
    <n v="2.5"/>
    <n v="25"/>
    <n v="0.52"/>
    <n v="0.9"/>
    <n v="1.2"/>
    <n v="0.75"/>
    <n v="0.7"/>
    <n v="3.3"/>
    <n v="4"/>
    <n v="2.2000000000000002"/>
    <n v="0.7"/>
    <n v="0.7"/>
    <n v="1.1000000000000001"/>
    <n v="2.9"/>
    <n v="7.2"/>
  </r>
  <r>
    <n v="2470"/>
    <x v="246"/>
    <x v="15"/>
    <x v="18"/>
    <x v="2"/>
    <x v="13"/>
    <n v="1"/>
    <n v="15.7"/>
    <n v="2.4"/>
    <n v="5.3"/>
    <n v="0.45283018867924529"/>
    <n v="0.9"/>
    <n v="1.9"/>
    <n v="0.47368421052631582"/>
    <n v="1.5"/>
    <n v="3.3"/>
    <n v="33"/>
    <n v="0.45454545454545459"/>
    <n v="1.4"/>
    <n v="1.7"/>
    <n v="0.82352941176470584"/>
    <n v="1.1000000000000001"/>
    <n v="3"/>
    <n v="4.0999999999999996"/>
    <n v="2.1"/>
    <n v="0.8"/>
    <n v="0.3"/>
    <n v="1.7"/>
    <n v="2.5"/>
    <n v="7.2"/>
  </r>
  <r>
    <n v="2480"/>
    <x v="247"/>
    <x v="4"/>
    <x v="17"/>
    <x v="4"/>
    <x v="29"/>
    <n v="3"/>
    <n v="17.7"/>
    <n v="3.1"/>
    <n v="6.6"/>
    <n v="0.46969696969696972"/>
    <n v="0.3"/>
    <n v="1.3"/>
    <n v="0.23076923076923075"/>
    <n v="2.9"/>
    <n v="5.3"/>
    <n v="53"/>
    <n v="0.54716981132075471"/>
    <n v="0.6"/>
    <n v="1.6"/>
    <n v="0.37499999999999994"/>
    <n v="1.4"/>
    <n v="2.9"/>
    <n v="4.3"/>
    <n v="1.6"/>
    <n v="1.1000000000000001"/>
    <n v="0.3"/>
    <n v="1.6"/>
    <n v="2.6"/>
    <n v="7.2"/>
  </r>
  <r>
    <n v="2500"/>
    <x v="248"/>
    <x v="3"/>
    <x v="28"/>
    <x v="3"/>
    <x v="12"/>
    <n v="2"/>
    <n v="17.100000000000001"/>
    <n v="2.4"/>
    <n v="5.7"/>
    <n v="0.42105263157894735"/>
    <n v="1.6"/>
    <n v="4.0999999999999996"/>
    <n v="0.39024390243902446"/>
    <n v="0.8"/>
    <n v="1.6"/>
    <n v="16"/>
    <n v="0.5"/>
    <n v="0.6"/>
    <n v="0.8"/>
    <n v="0.74999999999999989"/>
    <n v="0.6"/>
    <n v="1.9"/>
    <n v="2.5"/>
    <n v="0.9"/>
    <n v="0.4"/>
    <n v="0.1"/>
    <n v="0.5"/>
    <n v="1.9"/>
    <n v="7.1"/>
  </r>
  <r>
    <n v="2510"/>
    <x v="249"/>
    <x v="2"/>
    <x v="8"/>
    <x v="0"/>
    <x v="8"/>
    <n v="2"/>
    <n v="20.5"/>
    <n v="2.4"/>
    <n v="5.7"/>
    <n v="0.42105263157894735"/>
    <n v="1.6"/>
    <n v="4.0999999999999996"/>
    <n v="0.39024390243902446"/>
    <n v="0.8"/>
    <n v="1.6"/>
    <n v="16"/>
    <n v="0.5"/>
    <n v="0.8"/>
    <n v="1"/>
    <n v="0.8"/>
    <n v="0.9"/>
    <n v="3.4"/>
    <n v="4.3"/>
    <n v="0.9"/>
    <n v="0.6"/>
    <n v="0.5"/>
    <n v="0.6"/>
    <n v="1.3"/>
    <n v="7.1"/>
  </r>
  <r>
    <n v="2490"/>
    <x v="250"/>
    <x v="4"/>
    <x v="6"/>
    <x v="3"/>
    <x v="9"/>
    <n v="3"/>
    <n v="15"/>
    <n v="2.6"/>
    <n v="6.1"/>
    <n v="0.42622950819672134"/>
    <n v="1"/>
    <n v="2.8"/>
    <n v="0.35714285714285715"/>
    <n v="1.6"/>
    <n v="3.3"/>
    <n v="33"/>
    <n v="0.48484848484848492"/>
    <n v="1"/>
    <n v="1.3"/>
    <n v="0.76923076923076916"/>
    <n v="0.2"/>
    <n v="1.3"/>
    <n v="1.5"/>
    <n v="1.3"/>
    <n v="0.6"/>
    <n v="0.1"/>
    <n v="1.4"/>
    <n v="1.5"/>
    <n v="7.1"/>
  </r>
  <r>
    <n v="2530"/>
    <x v="251"/>
    <x v="9"/>
    <x v="11"/>
    <x v="2"/>
    <x v="8"/>
    <n v="14"/>
    <n v="19.3"/>
    <n v="2.8"/>
    <n v="5.6"/>
    <n v="0.5"/>
    <n v="0"/>
    <n v="0.4"/>
    <n v="0"/>
    <n v="2.8"/>
    <n v="5.2"/>
    <n v="52"/>
    <n v="0.53846153846153844"/>
    <n v="1.3"/>
    <n v="2.2999999999999998"/>
    <n v="0.56521739130434789"/>
    <n v="2.8"/>
    <n v="5.3"/>
    <n v="8.1"/>
    <n v="0.6"/>
    <n v="1.2"/>
    <n v="0.4"/>
    <n v="1.7"/>
    <n v="2.5"/>
    <n v="7"/>
  </r>
  <r>
    <n v="2540"/>
    <x v="252"/>
    <x v="0"/>
    <x v="16"/>
    <x v="1"/>
    <x v="1"/>
    <n v="23"/>
    <n v="23.9"/>
    <n v="2.9"/>
    <n v="6.4"/>
    <n v="0.45312499999999994"/>
    <n v="1.1000000000000001"/>
    <n v="3.3"/>
    <n v="0.33333333333333337"/>
    <n v="1.7"/>
    <n v="3.1"/>
    <n v="31"/>
    <n v="0.54838709677419351"/>
    <n v="0.2"/>
    <n v="0.4"/>
    <n v="0.5"/>
    <n v="0.7"/>
    <n v="2.8"/>
    <n v="3.5"/>
    <n v="2.9"/>
    <n v="1.7"/>
    <n v="0.3"/>
    <n v="1.2"/>
    <n v="2.5"/>
    <n v="7"/>
  </r>
  <r>
    <n v="2550"/>
    <x v="253"/>
    <x v="3"/>
    <x v="26"/>
    <x v="2"/>
    <x v="4"/>
    <n v="1"/>
    <n v="16.8"/>
    <n v="2.8"/>
    <n v="4.5999999999999996"/>
    <n v="0.60869565217391308"/>
    <n v="0"/>
    <n v="0"/>
    <n v="0"/>
    <n v="2.8"/>
    <n v="4.5999999999999996"/>
    <n v="46"/>
    <n v="0.60869565217391308"/>
    <n v="1.4"/>
    <n v="2.8"/>
    <n v="0.5"/>
    <n v="2.2000000000000002"/>
    <n v="3.4"/>
    <n v="5.6"/>
    <n v="1"/>
    <n v="0.6"/>
    <n v="1.6"/>
    <n v="1"/>
    <n v="2.8"/>
    <n v="7"/>
  </r>
  <r>
    <n v="2560"/>
    <x v="254"/>
    <x v="11"/>
    <x v="19"/>
    <x v="3"/>
    <x v="7"/>
    <n v="2"/>
    <n v="19.2"/>
    <n v="2.2999999999999998"/>
    <n v="6"/>
    <n v="0.3833333333333333"/>
    <n v="1.8"/>
    <n v="5.2"/>
    <n v="0.34615384615384615"/>
    <n v="0.5"/>
    <n v="0.8"/>
    <n v="8"/>
    <n v="0.625"/>
    <n v="0.6"/>
    <n v="0.6"/>
    <n v="1"/>
    <n v="0.4"/>
    <n v="1.4"/>
    <n v="1.8"/>
    <n v="1.6"/>
    <n v="0.6"/>
    <n v="0.2"/>
    <n v="0.5"/>
    <n v="2"/>
    <n v="7"/>
  </r>
  <r>
    <n v="2520"/>
    <x v="255"/>
    <x v="11"/>
    <x v="30"/>
    <x v="3"/>
    <x v="2"/>
    <n v="1"/>
    <n v="17.7"/>
    <n v="2.6"/>
    <n v="5.6"/>
    <n v="0.46428571428571436"/>
    <n v="1"/>
    <n v="2.7"/>
    <n v="0.37037037037037035"/>
    <n v="1.6"/>
    <n v="2.9"/>
    <n v="29"/>
    <n v="0.55172413793103448"/>
    <n v="0.9"/>
    <n v="1.2"/>
    <n v="0.75"/>
    <n v="0.5"/>
    <n v="1.5"/>
    <n v="2"/>
    <n v="2.2999999999999998"/>
    <n v="0.5"/>
    <n v="0.1"/>
    <n v="0.7"/>
    <n v="1.5"/>
    <n v="7"/>
  </r>
  <r>
    <n v="2580"/>
    <x v="256"/>
    <x v="11"/>
    <x v="15"/>
    <x v="4"/>
    <x v="2"/>
    <n v="23"/>
    <n v="24.7"/>
    <n v="2.6"/>
    <n v="5.3"/>
    <n v="0.49056603773584911"/>
    <n v="1.3"/>
    <n v="3.1"/>
    <n v="0.41935483870967744"/>
    <n v="1.3"/>
    <n v="2.2999999999999998"/>
    <n v="23"/>
    <n v="0.56521739130434789"/>
    <n v="0.4"/>
    <n v="0.6"/>
    <n v="0.66666666666666674"/>
    <n v="0.9"/>
    <n v="2.4"/>
    <n v="3.3"/>
    <n v="1.1000000000000001"/>
    <n v="1"/>
    <n v="0.6"/>
    <n v="0.9"/>
    <n v="2.2000000000000002"/>
    <n v="6.9"/>
  </r>
  <r>
    <n v="2570"/>
    <x v="257"/>
    <x v="12"/>
    <x v="24"/>
    <x v="4"/>
    <x v="30"/>
    <n v="1"/>
    <n v="12.6"/>
    <n v="2.4"/>
    <n v="5"/>
    <n v="0.48"/>
    <n v="1.7"/>
    <n v="3.9"/>
    <n v="0.4358974358974359"/>
    <n v="0.8"/>
    <n v="1.1000000000000001"/>
    <n v="11"/>
    <n v="0.72727272727272729"/>
    <n v="0.3"/>
    <n v="0.4"/>
    <n v="0.74999999999999989"/>
    <n v="0.9"/>
    <n v="1.9"/>
    <n v="2.8"/>
    <n v="0.6"/>
    <n v="0.2"/>
    <n v="0.1"/>
    <n v="0"/>
    <n v="1.7"/>
    <n v="6.9"/>
  </r>
  <r>
    <n v="2620"/>
    <x v="258"/>
    <x v="7"/>
    <x v="29"/>
    <x v="2"/>
    <x v="25"/>
    <n v="1"/>
    <n v="16.5"/>
    <n v="2.8"/>
    <n v="3.9"/>
    <n v="0.71794871794871795"/>
    <n v="0.1"/>
    <n v="0.3"/>
    <n v="0.33333333333333337"/>
    <n v="2.7"/>
    <n v="3.6"/>
    <n v="36"/>
    <n v="0.75"/>
    <n v="1.1000000000000001"/>
    <n v="1.2"/>
    <n v="0.91666666666666674"/>
    <n v="1.6"/>
    <n v="3.3"/>
    <n v="4.9000000000000004"/>
    <n v="1.1000000000000001"/>
    <n v="0.7"/>
    <n v="1.5"/>
    <n v="0.8"/>
    <n v="1.1000000000000001"/>
    <n v="6.8"/>
  </r>
  <r>
    <n v="2590"/>
    <x v="259"/>
    <x v="1"/>
    <x v="7"/>
    <x v="3"/>
    <x v="18"/>
    <n v="1"/>
    <n v="15.7"/>
    <n v="2.6"/>
    <n v="5.3"/>
    <n v="0.49056603773584911"/>
    <n v="0.8"/>
    <n v="2"/>
    <n v="0.4"/>
    <n v="1.8"/>
    <n v="3.3"/>
    <n v="33"/>
    <n v="0.54545454545454553"/>
    <n v="0.9"/>
    <n v="1.4"/>
    <n v="0.6428571428571429"/>
    <n v="1.5"/>
    <n v="1.7"/>
    <n v="3.2"/>
    <n v="0.5"/>
    <n v="1"/>
    <n v="0.4"/>
    <n v="0.8"/>
    <n v="1.2"/>
    <n v="6.8"/>
  </r>
  <r>
    <n v="2600"/>
    <x v="260"/>
    <x v="0"/>
    <x v="12"/>
    <x v="1"/>
    <x v="7"/>
    <n v="1"/>
    <n v="15.6"/>
    <n v="2.5"/>
    <n v="5.9"/>
    <n v="0.42372881355932202"/>
    <n v="1.4"/>
    <n v="3.6"/>
    <n v="0.38888888888888884"/>
    <n v="1.1000000000000001"/>
    <n v="2.2999999999999998"/>
    <n v="23"/>
    <n v="0.47826086956521746"/>
    <n v="0.4"/>
    <n v="0.6"/>
    <n v="0.66666666666666674"/>
    <n v="0.3"/>
    <n v="1.3"/>
    <n v="1.6"/>
    <n v="2.8"/>
    <n v="0.6"/>
    <n v="0.3"/>
    <n v="0.6"/>
    <n v="1.8"/>
    <n v="6.8"/>
  </r>
  <r>
    <n v="2610"/>
    <x v="261"/>
    <x v="3"/>
    <x v="13"/>
    <x v="2"/>
    <x v="24"/>
    <n v="0"/>
    <n v="15.7"/>
    <n v="2.5"/>
    <n v="5.8"/>
    <n v="0.43103448275862072"/>
    <n v="0.2"/>
    <n v="1.2"/>
    <n v="0.16666666666666669"/>
    <n v="2.4"/>
    <n v="4.5999999999999996"/>
    <n v="46"/>
    <n v="0.52173913043478259"/>
    <n v="1.5"/>
    <n v="1.7"/>
    <n v="0.88235294117647056"/>
    <n v="2.2999999999999998"/>
    <n v="3.3"/>
    <n v="5.6"/>
    <n v="1.2"/>
    <n v="0.9"/>
    <n v="0.5"/>
    <n v="1.2"/>
    <n v="1.8"/>
    <n v="6.8"/>
  </r>
  <r>
    <n v="2630"/>
    <x v="262"/>
    <x v="11"/>
    <x v="18"/>
    <x v="1"/>
    <x v="31"/>
    <n v="0"/>
    <n v="17.3"/>
    <n v="2.7"/>
    <n v="7"/>
    <n v="0.38571428571428573"/>
    <n v="0.3"/>
    <n v="1.3"/>
    <n v="0.23076923076923075"/>
    <n v="2.2999999999999998"/>
    <n v="5.7"/>
    <n v="57"/>
    <n v="0.40350877192982454"/>
    <n v="1"/>
    <n v="1.3"/>
    <n v="0.76923076923076916"/>
    <n v="0.7"/>
    <n v="1.3"/>
    <n v="2"/>
    <n v="1"/>
    <n v="0.7"/>
    <n v="0"/>
    <n v="0.3"/>
    <n v="1.3"/>
    <n v="6.7"/>
  </r>
  <r>
    <n v="2640"/>
    <x v="263"/>
    <x v="5"/>
    <x v="8"/>
    <x v="3"/>
    <x v="10"/>
    <n v="6"/>
    <n v="20.7"/>
    <n v="2.2000000000000002"/>
    <n v="4.7"/>
    <n v="0.46808510638297873"/>
    <n v="1.4"/>
    <n v="3.3"/>
    <n v="0.42424242424242425"/>
    <n v="0.8"/>
    <n v="1.4"/>
    <n v="14"/>
    <n v="0.57142857142857151"/>
    <n v="1"/>
    <n v="1.2"/>
    <n v="0.83333333333333337"/>
    <n v="0.8"/>
    <n v="1.5"/>
    <n v="2.2999999999999998"/>
    <n v="1.1000000000000001"/>
    <n v="1.3"/>
    <n v="0.8"/>
    <n v="0.8"/>
    <n v="1.8"/>
    <n v="6.7"/>
  </r>
  <r>
    <n v="2660"/>
    <x v="264"/>
    <x v="0"/>
    <x v="20"/>
    <x v="1"/>
    <x v="32"/>
    <n v="3"/>
    <n v="20.6"/>
    <n v="3.3"/>
    <n v="6.6"/>
    <n v="0.5"/>
    <n v="0"/>
    <n v="0.1"/>
    <n v="0"/>
    <n v="3.3"/>
    <n v="6.4"/>
    <n v="64"/>
    <n v="0.51562499999999989"/>
    <n v="0.1"/>
    <n v="0.3"/>
    <n v="0.33333333333333337"/>
    <n v="0.7"/>
    <n v="2.7"/>
    <n v="3.4"/>
    <n v="6.9"/>
    <n v="1.4"/>
    <n v="0.4"/>
    <n v="2.9"/>
    <n v="1.4"/>
    <n v="6.7"/>
  </r>
  <r>
    <n v="2650"/>
    <x v="265"/>
    <x v="5"/>
    <x v="13"/>
    <x v="3"/>
    <x v="16"/>
    <n v="2"/>
    <n v="16.7"/>
    <n v="2.4"/>
    <n v="5.4"/>
    <n v="0.44444444444444442"/>
    <n v="1.4"/>
    <n v="3.7"/>
    <n v="0.37837837837837834"/>
    <n v="1"/>
    <n v="1.8"/>
    <n v="18"/>
    <n v="0.55555555555555558"/>
    <n v="0.5"/>
    <n v="0.6"/>
    <n v="0.83333333333333337"/>
    <n v="0.8"/>
    <n v="2.2999999999999998"/>
    <n v="3.1"/>
    <n v="1.5"/>
    <n v="0.5"/>
    <n v="0.2"/>
    <n v="0.7"/>
    <n v="1.2"/>
    <n v="6.7"/>
  </r>
  <r>
    <n v="2680"/>
    <x v="266"/>
    <x v="10"/>
    <x v="20"/>
    <x v="0"/>
    <x v="2"/>
    <n v="4"/>
    <n v="18.899999999999999"/>
    <n v="2.5"/>
    <n v="5.6"/>
    <n v="0.44642857142857145"/>
    <n v="0.8"/>
    <n v="2.5"/>
    <n v="0.32"/>
    <n v="1.7"/>
    <n v="3.1"/>
    <n v="31"/>
    <n v="0.54838709677419351"/>
    <n v="0.8"/>
    <n v="1"/>
    <n v="0.8"/>
    <n v="2"/>
    <n v="2.7"/>
    <n v="4.7"/>
    <n v="1.2"/>
    <n v="0.8"/>
    <n v="0.1"/>
    <n v="0.8"/>
    <n v="1.3"/>
    <n v="6.6"/>
  </r>
  <r>
    <n v="2670"/>
    <x v="267"/>
    <x v="10"/>
    <x v="19"/>
    <x v="3"/>
    <x v="17"/>
    <n v="16"/>
    <n v="21"/>
    <n v="2.2999999999999998"/>
    <n v="4.7"/>
    <n v="0.4893617021276595"/>
    <n v="1.3"/>
    <n v="2.7"/>
    <n v="0.48148148148148145"/>
    <n v="1"/>
    <n v="2"/>
    <n v="20"/>
    <n v="0.5"/>
    <n v="0.7"/>
    <n v="0.9"/>
    <n v="0.77777777777777768"/>
    <n v="0.9"/>
    <n v="1.3"/>
    <n v="2.2999999999999998"/>
    <n v="1.7"/>
    <n v="0.7"/>
    <n v="0.4"/>
    <n v="0.4"/>
    <n v="2"/>
    <n v="6.6"/>
  </r>
  <r>
    <n v="2700"/>
    <x v="268"/>
    <x v="8"/>
    <x v="1"/>
    <x v="3"/>
    <x v="10"/>
    <n v="20"/>
    <n v="26.7"/>
    <n v="2.6"/>
    <n v="6.3"/>
    <n v="0.41269841269841273"/>
    <n v="0.9"/>
    <n v="3"/>
    <n v="0.3"/>
    <n v="1.7"/>
    <n v="3.3"/>
    <n v="33"/>
    <n v="0.51515151515151514"/>
    <n v="0.3"/>
    <n v="0.4"/>
    <n v="0.74999999999999989"/>
    <n v="1.1000000000000001"/>
    <n v="2.2000000000000002"/>
    <n v="3.4"/>
    <n v="2.4"/>
    <n v="1.8"/>
    <n v="0.7"/>
    <n v="0.7"/>
    <n v="2.1"/>
    <n v="6.5"/>
  </r>
  <r>
    <n v="2690"/>
    <x v="269"/>
    <x v="8"/>
    <x v="26"/>
    <x v="0"/>
    <x v="6"/>
    <n v="1"/>
    <n v="17.7"/>
    <n v="2.2999999999999998"/>
    <n v="5"/>
    <n v="0.45999999999999996"/>
    <n v="1.1000000000000001"/>
    <n v="2.7"/>
    <n v="0.40740740740740744"/>
    <n v="1.2"/>
    <n v="2.2999999999999998"/>
    <n v="23"/>
    <n v="0.52173913043478259"/>
    <n v="0.9"/>
    <n v="1.3"/>
    <n v="0.69230769230769229"/>
    <n v="0.4"/>
    <n v="2.9"/>
    <n v="3.3"/>
    <n v="1.5"/>
    <n v="1.1000000000000001"/>
    <n v="0.3"/>
    <n v="1.2"/>
    <n v="1.7"/>
    <n v="6.5"/>
  </r>
  <r>
    <n v="2760"/>
    <x v="270"/>
    <x v="1"/>
    <x v="18"/>
    <x v="1"/>
    <x v="5"/>
    <n v="14"/>
    <n v="25.3"/>
    <n v="2.4"/>
    <n v="5.8"/>
    <n v="0.41379310344827586"/>
    <n v="0.9"/>
    <n v="2.9"/>
    <n v="0.31034482758620691"/>
    <n v="1.4"/>
    <n v="3"/>
    <n v="30"/>
    <n v="0.46666666666666662"/>
    <n v="0.7"/>
    <n v="1"/>
    <n v="0.7"/>
    <n v="0.4"/>
    <n v="1.7"/>
    <n v="2.1"/>
    <n v="4.7"/>
    <n v="0.8"/>
    <n v="0.2"/>
    <n v="1.8"/>
    <n v="2.7"/>
    <n v="6.4"/>
  </r>
  <r>
    <n v="2740"/>
    <x v="271"/>
    <x v="10"/>
    <x v="11"/>
    <x v="0"/>
    <x v="19"/>
    <n v="7"/>
    <n v="20"/>
    <n v="2.5"/>
    <n v="4.0999999999999996"/>
    <n v="0.60975609756097571"/>
    <n v="0.3"/>
    <n v="0.9"/>
    <n v="0.33333333333333331"/>
    <n v="2.2000000000000002"/>
    <n v="3.3"/>
    <n v="33"/>
    <n v="0.66666666666666674"/>
    <n v="1"/>
    <n v="1.2"/>
    <n v="0.83333333333333337"/>
    <n v="0.9"/>
    <n v="2.1"/>
    <n v="3"/>
    <n v="0.8"/>
    <n v="0.5"/>
    <n v="0.7"/>
    <n v="0.5"/>
    <n v="2.6"/>
    <n v="6.4"/>
  </r>
  <r>
    <n v="2750"/>
    <x v="272"/>
    <x v="4"/>
    <x v="1"/>
    <x v="3"/>
    <x v="1"/>
    <n v="1"/>
    <n v="16.5"/>
    <n v="2.5"/>
    <n v="4.9000000000000004"/>
    <n v="0.51020408163265307"/>
    <n v="0.6"/>
    <n v="1.5"/>
    <n v="0.39999999999999997"/>
    <n v="1.8"/>
    <n v="3.4"/>
    <n v="34"/>
    <n v="0.52941176470588236"/>
    <n v="0.8"/>
    <n v="1"/>
    <n v="0.8"/>
    <n v="0.5"/>
    <n v="1.5"/>
    <n v="2"/>
    <n v="1.7"/>
    <n v="0.7"/>
    <n v="0.1"/>
    <n v="0.8"/>
    <n v="1.7"/>
    <n v="6.4"/>
  </r>
  <r>
    <n v="2710"/>
    <x v="273"/>
    <x v="15"/>
    <x v="15"/>
    <x v="3"/>
    <x v="16"/>
    <n v="0"/>
    <n v="16.8"/>
    <n v="1.9"/>
    <n v="4.3"/>
    <n v="0.44186046511627908"/>
    <n v="1.4"/>
    <n v="3.1"/>
    <n v="0.45161290322580638"/>
    <n v="0.5"/>
    <n v="1.3"/>
    <n v="13"/>
    <n v="0.38461538461538458"/>
    <n v="1.1000000000000001"/>
    <n v="1.3"/>
    <n v="0.84615384615384615"/>
    <n v="0.3"/>
    <n v="1.7"/>
    <n v="2"/>
    <n v="1.1000000000000001"/>
    <n v="0.6"/>
    <n v="0.2"/>
    <n v="0.3"/>
    <n v="0.7"/>
    <n v="6.4"/>
  </r>
  <r>
    <n v="2720"/>
    <x v="274"/>
    <x v="2"/>
    <x v="17"/>
    <x v="4"/>
    <x v="2"/>
    <n v="0"/>
    <n v="17.899999999999999"/>
    <n v="2.1"/>
    <n v="5.0999999999999996"/>
    <n v="0.41176470588235298"/>
    <n v="1.2"/>
    <n v="3.4"/>
    <n v="0.35294117647058826"/>
    <n v="0.9"/>
    <n v="1.7"/>
    <n v="17"/>
    <n v="0.52941176470588236"/>
    <n v="1.1000000000000001"/>
    <n v="1.4"/>
    <n v="0.78571428571428581"/>
    <n v="0.6"/>
    <n v="2.2000000000000002"/>
    <n v="2.8"/>
    <n v="0.9"/>
    <n v="0.3"/>
    <n v="0.2"/>
    <n v="0.8"/>
    <n v="1.3"/>
    <n v="6.4"/>
  </r>
  <r>
    <n v="2730"/>
    <x v="275"/>
    <x v="10"/>
    <x v="24"/>
    <x v="3"/>
    <x v="12"/>
    <n v="0"/>
    <n v="12.6"/>
    <n v="2.2999999999999998"/>
    <n v="4.9000000000000004"/>
    <n v="0.46938775510204073"/>
    <n v="0.8"/>
    <n v="2.2000000000000002"/>
    <n v="0.36363636363636365"/>
    <n v="1.5"/>
    <n v="2.7"/>
    <n v="27"/>
    <n v="0.55555555555555547"/>
    <n v="0.9"/>
    <n v="1.3"/>
    <n v="0.69230769230769229"/>
    <n v="0.5"/>
    <n v="1.6"/>
    <n v="2.1"/>
    <n v="1.5"/>
    <n v="0.4"/>
    <n v="0.3"/>
    <n v="0.6"/>
    <n v="1.1000000000000001"/>
    <n v="6.4"/>
  </r>
  <r>
    <n v="2780"/>
    <x v="276"/>
    <x v="4"/>
    <x v="7"/>
    <x v="4"/>
    <x v="12"/>
    <n v="12"/>
    <n v="18.8"/>
    <n v="2.5"/>
    <n v="5.8"/>
    <n v="0.43103448275862072"/>
    <n v="1.1000000000000001"/>
    <n v="3.6"/>
    <n v="0.30555555555555558"/>
    <n v="1.4"/>
    <n v="2.1"/>
    <n v="21"/>
    <n v="0.66666666666666663"/>
    <n v="0.3"/>
    <n v="0.5"/>
    <n v="0.6"/>
    <n v="0.8"/>
    <n v="2.1"/>
    <n v="2.9"/>
    <n v="0.9"/>
    <n v="0.6"/>
    <n v="0.7"/>
    <n v="0.5"/>
    <n v="2.2999999999999998"/>
    <n v="6.3"/>
  </r>
  <r>
    <n v="2770"/>
    <x v="277"/>
    <x v="10"/>
    <x v="4"/>
    <x v="1"/>
    <x v="10"/>
    <n v="0"/>
    <n v="12.5"/>
    <n v="2.2999999999999998"/>
    <n v="6"/>
    <n v="0.3833333333333333"/>
    <n v="0.7"/>
    <n v="2.4"/>
    <n v="0.29166666666666669"/>
    <n v="1.6"/>
    <n v="3.6"/>
    <n v="36"/>
    <n v="0.44444444444444448"/>
    <n v="1.1000000000000001"/>
    <n v="1.4"/>
    <n v="0.78571428571428581"/>
    <n v="0.4"/>
    <n v="1.8"/>
    <n v="2.2999999999999998"/>
    <n v="2.5"/>
    <n v="0.4"/>
    <n v="0.2"/>
    <n v="1.5"/>
    <n v="1.6"/>
    <n v="6.3"/>
  </r>
  <r>
    <n v="2820"/>
    <x v="278"/>
    <x v="0"/>
    <x v="1"/>
    <x v="0"/>
    <x v="19"/>
    <n v="0"/>
    <n v="13.3"/>
    <n v="2.4"/>
    <n v="4.3"/>
    <n v="0.55813953488372092"/>
    <n v="1"/>
    <n v="2.2000000000000002"/>
    <n v="0.45454545454545453"/>
    <n v="1.5"/>
    <n v="2.2000000000000002"/>
    <n v="22"/>
    <n v="0.68181818181818177"/>
    <n v="0.5"/>
    <n v="0.6"/>
    <n v="0.83333333333333337"/>
    <n v="0.9"/>
    <n v="2.2000000000000002"/>
    <n v="3.1"/>
    <n v="1"/>
    <n v="0.7"/>
    <n v="0.2"/>
    <n v="0.4"/>
    <n v="1.7"/>
    <n v="6.3"/>
  </r>
  <r>
    <n v="2810"/>
    <x v="279"/>
    <x v="7"/>
    <x v="15"/>
    <x v="3"/>
    <x v="29"/>
    <n v="1"/>
    <n v="19.100000000000001"/>
    <n v="2.2000000000000002"/>
    <n v="4.4000000000000004"/>
    <n v="0.5"/>
    <n v="1.1000000000000001"/>
    <n v="2.1"/>
    <n v="0.52380952380952384"/>
    <n v="1.1000000000000001"/>
    <n v="2.2000000000000002"/>
    <n v="22"/>
    <n v="0.5"/>
    <n v="0.7"/>
    <n v="0.9"/>
    <n v="0.77777777777777768"/>
    <n v="0.9"/>
    <n v="1.7"/>
    <n v="2.6"/>
    <n v="1.6"/>
    <n v="1.5"/>
    <n v="0.4"/>
    <n v="1.2"/>
    <n v="2.1"/>
    <n v="6.3"/>
  </r>
  <r>
    <n v="2800"/>
    <x v="280"/>
    <x v="11"/>
    <x v="16"/>
    <x v="3"/>
    <x v="17"/>
    <n v="11"/>
    <n v="21"/>
    <n v="2.4"/>
    <n v="5.6"/>
    <n v="0.4285714285714286"/>
    <n v="0.7"/>
    <n v="2"/>
    <n v="0.35"/>
    <n v="1.7"/>
    <n v="3.5"/>
    <n v="35"/>
    <n v="0.48571428571428571"/>
    <n v="0.7"/>
    <n v="1"/>
    <n v="0.7"/>
    <n v="1"/>
    <n v="2"/>
    <n v="3.1"/>
    <n v="1.7"/>
    <n v="1"/>
    <n v="0.2"/>
    <n v="0.6"/>
    <n v="2"/>
    <n v="6.3"/>
  </r>
  <r>
    <n v="2790"/>
    <x v="281"/>
    <x v="18"/>
    <x v="17"/>
    <x v="4"/>
    <x v="1"/>
    <n v="1"/>
    <n v="15.5"/>
    <n v="2.5"/>
    <n v="5.3"/>
    <n v="0.47169811320754718"/>
    <n v="0.4"/>
    <n v="1.9"/>
    <n v="0.2105263157894737"/>
    <n v="2.1"/>
    <n v="3.4"/>
    <n v="34"/>
    <n v="0.61764705882352944"/>
    <n v="0.8"/>
    <n v="1.1000000000000001"/>
    <n v="0.72727272727272729"/>
    <n v="0.5"/>
    <n v="2.4"/>
    <n v="2.9"/>
    <n v="0.7"/>
    <n v="0.4"/>
    <n v="0.1"/>
    <n v="0.9"/>
    <n v="1.6"/>
    <n v="6.3"/>
  </r>
  <r>
    <n v="2830"/>
    <x v="282"/>
    <x v="11"/>
    <x v="19"/>
    <x v="0"/>
    <x v="8"/>
    <n v="16"/>
    <n v="22.6"/>
    <n v="2.1"/>
    <n v="5"/>
    <n v="0.42000000000000004"/>
    <n v="1.5"/>
    <n v="4.2"/>
    <n v="0.35714285714285715"/>
    <n v="0.6"/>
    <n v="0.8"/>
    <n v="8"/>
    <n v="0.74999999999999989"/>
    <n v="0.5"/>
    <n v="1"/>
    <n v="0.5"/>
    <n v="0.9"/>
    <n v="4.2"/>
    <n v="5.2"/>
    <n v="1.5"/>
    <n v="1"/>
    <n v="0.6"/>
    <n v="0.2"/>
    <n v="1.7"/>
    <n v="6.2"/>
  </r>
  <r>
    <n v="2840"/>
    <x v="283"/>
    <x v="10"/>
    <x v="3"/>
    <x v="3"/>
    <x v="21"/>
    <n v="0"/>
    <n v="14.3"/>
    <n v="2"/>
    <n v="5.6"/>
    <n v="0.35714285714285715"/>
    <n v="0.4"/>
    <n v="1.7"/>
    <n v="0.23529411764705885"/>
    <n v="1.6"/>
    <n v="3.9"/>
    <n v="39"/>
    <n v="0.4102564102564103"/>
    <n v="1.7"/>
    <n v="2.6"/>
    <n v="0.65384615384615385"/>
    <n v="1.2"/>
    <n v="1"/>
    <n v="2.2000000000000002"/>
    <n v="1.8"/>
    <n v="0.6"/>
    <n v="0"/>
    <n v="1"/>
    <n v="1.1000000000000001"/>
    <n v="6.1"/>
  </r>
  <r>
    <n v="2850"/>
    <x v="284"/>
    <x v="3"/>
    <x v="18"/>
    <x v="4"/>
    <x v="14"/>
    <n v="0"/>
    <n v="13.5"/>
    <n v="2.1"/>
    <n v="4.5"/>
    <n v="0.46666666666666667"/>
    <n v="1.4"/>
    <n v="3.3"/>
    <n v="0.42424242424242425"/>
    <n v="0.7"/>
    <n v="1.2"/>
    <n v="12"/>
    <n v="0.58333333333333337"/>
    <n v="0.4"/>
    <n v="0.5"/>
    <n v="0.8"/>
    <n v="0.6"/>
    <n v="1.3"/>
    <n v="1.9"/>
    <n v="1"/>
    <n v="0.1"/>
    <n v="0.1"/>
    <n v="0.4"/>
    <n v="1.2"/>
    <n v="6"/>
  </r>
  <r>
    <n v="2860"/>
    <x v="285"/>
    <x v="1"/>
    <x v="26"/>
    <x v="1"/>
    <x v="23"/>
    <n v="7"/>
    <n v="14.8"/>
    <n v="2.2999999999999998"/>
    <n v="4.5"/>
    <n v="0.51111111111111107"/>
    <n v="0.5"/>
    <n v="1.4"/>
    <n v="0.35714285714285715"/>
    <n v="1.8"/>
    <n v="3.1"/>
    <n v="31"/>
    <n v="0.58064516129032262"/>
    <n v="0.9"/>
    <n v="1.2"/>
    <n v="0.75"/>
    <n v="0.6"/>
    <n v="1"/>
    <n v="1.6"/>
    <n v="1.8"/>
    <n v="0.5"/>
    <n v="0.3"/>
    <n v="0.6"/>
    <n v="1.9"/>
    <n v="6"/>
  </r>
  <r>
    <n v="2880"/>
    <x v="286"/>
    <x v="3"/>
    <x v="26"/>
    <x v="2"/>
    <x v="27"/>
    <n v="0"/>
    <n v="5"/>
    <n v="2"/>
    <n v="4"/>
    <n v="0.5"/>
    <n v="0"/>
    <n v="1"/>
    <n v="0"/>
    <n v="2"/>
    <n v="3"/>
    <n v="30"/>
    <n v="0.66666666666666663"/>
    <n v="2"/>
    <n v="2"/>
    <n v="1"/>
    <n v="0"/>
    <n v="1"/>
    <n v="1"/>
    <n v="0"/>
    <n v="0"/>
    <n v="0"/>
    <n v="0"/>
    <n v="0"/>
    <n v="6"/>
  </r>
  <r>
    <n v="2870"/>
    <x v="287"/>
    <x v="11"/>
    <x v="19"/>
    <x v="4"/>
    <x v="15"/>
    <n v="0"/>
    <n v="22.3"/>
    <n v="2.2000000000000002"/>
    <n v="6.2"/>
    <n v="0.35483870967741937"/>
    <n v="1.5"/>
    <n v="5.2"/>
    <n v="0.28846153846153844"/>
    <n v="0.7"/>
    <n v="1"/>
    <n v="10"/>
    <n v="0.7"/>
    <n v="0.2"/>
    <n v="0.2"/>
    <n v="1"/>
    <n v="1.2"/>
    <n v="2.8"/>
    <n v="4"/>
    <n v="2.8"/>
    <n v="0.3"/>
    <n v="0.3"/>
    <n v="0.7"/>
    <n v="2.5"/>
    <n v="6"/>
  </r>
  <r>
    <n v="2890"/>
    <x v="288"/>
    <x v="8"/>
    <x v="28"/>
    <x v="2"/>
    <x v="3"/>
    <n v="8"/>
    <n v="16.5"/>
    <n v="2.2000000000000002"/>
    <n v="4.4000000000000004"/>
    <n v="0.5"/>
    <n v="0.5"/>
    <n v="1.6"/>
    <n v="0.3125"/>
    <n v="1.6"/>
    <n v="2.8"/>
    <n v="28"/>
    <n v="0.57142857142857151"/>
    <n v="1"/>
    <n v="1.7"/>
    <n v="0.58823529411764708"/>
    <n v="1"/>
    <n v="3.3"/>
    <n v="4.3"/>
    <n v="1.8"/>
    <n v="0.5"/>
    <n v="0.1"/>
    <n v="1"/>
    <n v="1.9"/>
    <n v="5.9"/>
  </r>
  <r>
    <n v="2900"/>
    <x v="289"/>
    <x v="9"/>
    <x v="20"/>
    <x v="3"/>
    <x v="5"/>
    <n v="12"/>
    <n v="20.9"/>
    <n v="2.1"/>
    <n v="4.5999999999999996"/>
    <n v="0.45652173913043481"/>
    <n v="0.7"/>
    <n v="1.9"/>
    <n v="0.36842105263157893"/>
    <n v="1.4"/>
    <n v="2.7"/>
    <n v="27"/>
    <n v="0.51851851851851849"/>
    <n v="1"/>
    <n v="1.3"/>
    <n v="0.76923076923076916"/>
    <n v="0.9"/>
    <n v="2.2000000000000002"/>
    <n v="3.1"/>
    <n v="0.7"/>
    <n v="1"/>
    <n v="0.6"/>
    <n v="0.7"/>
    <n v="1.4"/>
    <n v="5.9"/>
  </r>
  <r>
    <n v="2920"/>
    <x v="290"/>
    <x v="6"/>
    <x v="15"/>
    <x v="0"/>
    <x v="26"/>
    <n v="5"/>
    <n v="11.4"/>
    <n v="2"/>
    <n v="5.7"/>
    <n v="0.35087719298245612"/>
    <n v="1.1000000000000001"/>
    <n v="3.1"/>
    <n v="0.35483870967741937"/>
    <n v="0.9"/>
    <n v="2.6"/>
    <n v="26"/>
    <n v="0.34615384615384615"/>
    <n v="0.8"/>
    <n v="1.2"/>
    <n v="0.66666666666666674"/>
    <n v="1.1000000000000001"/>
    <n v="3.4"/>
    <n v="4.5"/>
    <n v="1.2"/>
    <n v="0.8"/>
    <n v="0.1"/>
    <n v="0.8"/>
    <n v="0.9"/>
    <n v="5.9"/>
  </r>
  <r>
    <n v="2910"/>
    <x v="291"/>
    <x v="10"/>
    <x v="10"/>
    <x v="2"/>
    <x v="24"/>
    <n v="2"/>
    <n v="16.899999999999999"/>
    <n v="2.2000000000000002"/>
    <n v="3.2"/>
    <n v="0.6875"/>
    <n v="0"/>
    <n v="0"/>
    <n v="0"/>
    <n v="2.2000000000000002"/>
    <n v="3.2"/>
    <n v="32"/>
    <n v="0.6875"/>
    <n v="1.5"/>
    <n v="1.9"/>
    <n v="0.78947368421052633"/>
    <n v="1.8"/>
    <n v="2.6"/>
    <n v="4.4000000000000004"/>
    <n v="0.7"/>
    <n v="0.4"/>
    <n v="0.8"/>
    <n v="0.7"/>
    <n v="2.4"/>
    <n v="5.9"/>
  </r>
  <r>
    <n v="2930"/>
    <x v="292"/>
    <x v="5"/>
    <x v="16"/>
    <x v="4"/>
    <x v="20"/>
    <n v="0"/>
    <n v="14.7"/>
    <n v="2.2999999999999998"/>
    <n v="5.3"/>
    <n v="0.43396226415094336"/>
    <n v="0.4"/>
    <n v="1.7"/>
    <n v="0.23529411764705885"/>
    <n v="1.9"/>
    <n v="3.6"/>
    <n v="36"/>
    <n v="0.52777777777777779"/>
    <n v="1"/>
    <n v="1.2"/>
    <n v="0.83333333333333337"/>
    <n v="1"/>
    <n v="1.2"/>
    <n v="2.1"/>
    <n v="1.3"/>
    <n v="0.5"/>
    <n v="0.1"/>
    <n v="0.9"/>
    <n v="1"/>
    <n v="5.9"/>
  </r>
  <r>
    <n v="2950"/>
    <x v="293"/>
    <x v="3"/>
    <x v="17"/>
    <x v="2"/>
    <x v="2"/>
    <n v="3"/>
    <n v="21.2"/>
    <n v="2.2999999999999998"/>
    <n v="4.2"/>
    <n v="0.54761904761904756"/>
    <n v="0.3"/>
    <n v="0.9"/>
    <n v="0.33333333333333331"/>
    <n v="2"/>
    <n v="3.3"/>
    <n v="33"/>
    <n v="0.60606060606060608"/>
    <n v="1"/>
    <n v="1.2"/>
    <n v="0.83333333333333337"/>
    <n v="2.1"/>
    <n v="3.9"/>
    <n v="6"/>
    <n v="1.8"/>
    <n v="0.5"/>
    <n v="1.2"/>
    <n v="1"/>
    <n v="2.7"/>
    <n v="5.9"/>
  </r>
  <r>
    <n v="2940"/>
    <x v="294"/>
    <x v="11"/>
    <x v="13"/>
    <x v="1"/>
    <x v="0"/>
    <n v="20"/>
    <n v="25.1"/>
    <n v="2.7"/>
    <n v="4.9000000000000004"/>
    <n v="0.55102040816326525"/>
    <n v="0"/>
    <n v="0"/>
    <n v="0"/>
    <n v="2.7"/>
    <n v="4.9000000000000004"/>
    <n v="49"/>
    <n v="0.55102040816326525"/>
    <n v="0.6"/>
    <n v="0.8"/>
    <n v="0.74999999999999989"/>
    <n v="0.9"/>
    <n v="4.3"/>
    <n v="5.2"/>
    <n v="6.9"/>
    <n v="0.8"/>
    <n v="0.5"/>
    <n v="2.8"/>
    <n v="2.2999999999999998"/>
    <n v="5.9"/>
  </r>
  <r>
    <n v="2960"/>
    <x v="295"/>
    <x v="8"/>
    <x v="9"/>
    <x v="3"/>
    <x v="3"/>
    <n v="0"/>
    <n v="11.9"/>
    <n v="2.1"/>
    <n v="4.8"/>
    <n v="0.43750000000000006"/>
    <n v="0.8"/>
    <n v="2.1"/>
    <n v="0.38095238095238093"/>
    <n v="1.3"/>
    <n v="2.6"/>
    <n v="26"/>
    <n v="0.5"/>
    <n v="0.8"/>
    <n v="0.9"/>
    <n v="0.88888888888888895"/>
    <n v="0.1"/>
    <n v="1.3"/>
    <n v="1.4"/>
    <n v="1.2"/>
    <n v="0.3"/>
    <n v="0.1"/>
    <n v="1.2"/>
    <n v="0.7"/>
    <n v="5.8"/>
  </r>
  <r>
    <n v="2970"/>
    <x v="296"/>
    <x v="3"/>
    <x v="11"/>
    <x v="4"/>
    <x v="8"/>
    <n v="0"/>
    <n v="13"/>
    <n v="1.8"/>
    <n v="4.2"/>
    <n v="0.42857142857142855"/>
    <n v="0.4"/>
    <n v="1.6"/>
    <n v="0.25"/>
    <n v="1.3"/>
    <n v="2.6"/>
    <n v="26"/>
    <n v="0.5"/>
    <n v="1.7"/>
    <n v="2"/>
    <n v="0.85"/>
    <n v="0.6"/>
    <n v="1.5"/>
    <n v="2.1"/>
    <n v="0.7"/>
    <n v="0.3"/>
    <n v="0.2"/>
    <n v="0.4"/>
    <n v="0.8"/>
    <n v="5.7"/>
  </r>
  <r>
    <n v="2980"/>
    <x v="297"/>
    <x v="7"/>
    <x v="4"/>
    <x v="0"/>
    <x v="2"/>
    <n v="0"/>
    <n v="16.5"/>
    <n v="2.1"/>
    <n v="5.0999999999999996"/>
    <n v="0.41176470588235298"/>
    <n v="0.7"/>
    <n v="2.6"/>
    <n v="0.26923076923076922"/>
    <n v="1.4"/>
    <n v="2.5"/>
    <n v="25"/>
    <n v="0.55999999999999994"/>
    <n v="0.9"/>
    <n v="1.4"/>
    <n v="0.6428571428571429"/>
    <n v="1.7"/>
    <n v="2.9"/>
    <n v="4.5999999999999996"/>
    <n v="0.4"/>
    <n v="0.8"/>
    <n v="1.3"/>
    <n v="0.6"/>
    <n v="1.5"/>
    <n v="5.7"/>
  </r>
  <r>
    <n v="2990"/>
    <x v="298"/>
    <x v="10"/>
    <x v="17"/>
    <x v="1"/>
    <x v="17"/>
    <n v="0"/>
    <n v="13.5"/>
    <n v="2.2999999999999998"/>
    <n v="4.5"/>
    <n v="0.51111111111111107"/>
    <n v="0.9"/>
    <n v="2.2999999999999998"/>
    <n v="0.39130434782608697"/>
    <n v="1.4"/>
    <n v="2.2999999999999998"/>
    <n v="23"/>
    <n v="0.60869565217391308"/>
    <n v="0.3"/>
    <n v="0.3"/>
    <n v="1"/>
    <n v="0.3"/>
    <n v="0.7"/>
    <n v="1"/>
    <n v="1.9"/>
    <n v="0.8"/>
    <n v="0.1"/>
    <n v="0.9"/>
    <n v="1.2"/>
    <n v="5.7"/>
  </r>
  <r>
    <n v="3000"/>
    <x v="299"/>
    <x v="7"/>
    <x v="9"/>
    <x v="2"/>
    <x v="9"/>
    <n v="4"/>
    <n v="14"/>
    <n v="2"/>
    <n v="4.3"/>
    <n v="0.46511627906976744"/>
    <n v="0.4"/>
    <n v="1.5"/>
    <n v="0.26666666666666666"/>
    <n v="1.6"/>
    <n v="2.8"/>
    <n v="28"/>
    <n v="0.57142857142857151"/>
    <n v="1.1000000000000001"/>
    <n v="1.3"/>
    <n v="0.84615384615384615"/>
    <n v="1.3"/>
    <n v="2"/>
    <n v="3.3"/>
    <n v="1.7"/>
    <n v="0.5"/>
    <n v="0.5"/>
    <n v="0.8"/>
    <n v="2.2999999999999998"/>
    <n v="5.6"/>
  </r>
  <r>
    <n v="3020"/>
    <x v="300"/>
    <x v="17"/>
    <x v="29"/>
    <x v="2"/>
    <x v="0"/>
    <n v="7"/>
    <n v="16"/>
    <n v="2.2999999999999998"/>
    <n v="4.3"/>
    <n v="0.53488372093023251"/>
    <n v="0.2"/>
    <n v="0.6"/>
    <n v="0.33333333333333337"/>
    <n v="2.1"/>
    <n v="3.7"/>
    <n v="37"/>
    <n v="0.56756756756756754"/>
    <n v="0.8"/>
    <n v="1.1000000000000001"/>
    <n v="0.72727272727272729"/>
    <n v="2.7"/>
    <n v="3.3"/>
    <n v="6"/>
    <n v="0.6"/>
    <n v="0.5"/>
    <n v="1.6"/>
    <n v="1.2"/>
    <n v="2.7"/>
    <n v="5.5"/>
  </r>
  <r>
    <n v="3030"/>
    <x v="301"/>
    <x v="2"/>
    <x v="7"/>
    <x v="1"/>
    <x v="9"/>
    <n v="0"/>
    <n v="13.6"/>
    <n v="1.9"/>
    <n v="4.5999999999999996"/>
    <n v="0.41304347826086957"/>
    <n v="0.6"/>
    <n v="2"/>
    <n v="0.3"/>
    <n v="1.3"/>
    <n v="2.6"/>
    <n v="26"/>
    <n v="0.5"/>
    <n v="1"/>
    <n v="1.3"/>
    <n v="0.76923076923076916"/>
    <n v="0.3"/>
    <n v="1.3"/>
    <n v="1.6"/>
    <n v="1.8"/>
    <n v="0.5"/>
    <n v="0.1"/>
    <n v="0.5"/>
    <n v="0.6"/>
    <n v="5.5"/>
  </r>
  <r>
    <n v="3010"/>
    <x v="302"/>
    <x v="0"/>
    <x v="1"/>
    <x v="3"/>
    <x v="18"/>
    <n v="0"/>
    <n v="19.899999999999999"/>
    <n v="2.2000000000000002"/>
    <n v="5.7"/>
    <n v="0.38596491228070179"/>
    <n v="0.9"/>
    <n v="3.3"/>
    <n v="0.27272727272727276"/>
    <n v="1.3"/>
    <n v="2.5"/>
    <n v="25"/>
    <n v="0.52"/>
    <n v="0.4"/>
    <n v="0.5"/>
    <n v="0.8"/>
    <n v="0.6"/>
    <n v="2.2999999999999998"/>
    <n v="2.9"/>
    <n v="2.5"/>
    <n v="1.9"/>
    <n v="0.6"/>
    <n v="0.8"/>
    <n v="2"/>
    <n v="5.5"/>
  </r>
  <r>
    <n v="3050"/>
    <x v="303"/>
    <x v="7"/>
    <x v="23"/>
    <x v="3"/>
    <x v="0"/>
    <n v="8"/>
    <n v="17.5"/>
    <n v="2"/>
    <n v="5.6"/>
    <n v="0.35714285714285715"/>
    <n v="1.3"/>
    <n v="4"/>
    <n v="0.32500000000000001"/>
    <n v="0.7"/>
    <n v="1.6"/>
    <n v="16"/>
    <n v="0.43749999999999994"/>
    <n v="0.2"/>
    <n v="0.3"/>
    <n v="0.66666666666666674"/>
    <n v="0.5"/>
    <n v="2.1"/>
    <n v="2.6"/>
    <n v="1.3"/>
    <n v="0.7"/>
    <n v="0.2"/>
    <n v="0.3"/>
    <n v="1.7"/>
    <n v="5.5"/>
  </r>
  <r>
    <n v="3040"/>
    <x v="304"/>
    <x v="5"/>
    <x v="5"/>
    <x v="2"/>
    <x v="7"/>
    <n v="5"/>
    <n v="16.100000000000001"/>
    <n v="2.2999999999999998"/>
    <n v="3.6"/>
    <n v="0.63888888888888884"/>
    <n v="0"/>
    <n v="0.1"/>
    <n v="0"/>
    <n v="2.2999999999999998"/>
    <n v="3.5"/>
    <n v="35"/>
    <n v="0.65714285714285714"/>
    <n v="0.8"/>
    <n v="1.1000000000000001"/>
    <n v="0.72727272727272729"/>
    <n v="1.7"/>
    <n v="2.7"/>
    <n v="4.4000000000000004"/>
    <n v="0.7"/>
    <n v="0.3"/>
    <n v="0.9"/>
    <n v="0.7"/>
    <n v="2"/>
    <n v="5.5"/>
  </r>
  <r>
    <n v="3070"/>
    <x v="305"/>
    <x v="7"/>
    <x v="4"/>
    <x v="3"/>
    <x v="30"/>
    <n v="2"/>
    <n v="15.3"/>
    <n v="2"/>
    <n v="3.7"/>
    <n v="0.54054054054054046"/>
    <n v="1"/>
    <n v="1.9"/>
    <n v="0.52631578947368418"/>
    <n v="1"/>
    <n v="1.8"/>
    <n v="18"/>
    <n v="0.55555555555555558"/>
    <n v="0.4"/>
    <n v="0.4"/>
    <n v="1"/>
    <n v="0.4"/>
    <n v="0.7"/>
    <n v="1.1000000000000001"/>
    <n v="1.3"/>
    <n v="1"/>
    <n v="0.3"/>
    <n v="1.1000000000000001"/>
    <n v="1.7"/>
    <n v="5.4"/>
  </r>
  <r>
    <n v="3060"/>
    <x v="306"/>
    <x v="5"/>
    <x v="12"/>
    <x v="0"/>
    <x v="29"/>
    <n v="1"/>
    <n v="18.2"/>
    <n v="2.1"/>
    <n v="4.5"/>
    <n v="0.46666666666666667"/>
    <n v="0.4"/>
    <n v="0.9"/>
    <n v="0.44444444444444448"/>
    <n v="1.8"/>
    <n v="3.6"/>
    <n v="36"/>
    <n v="0.5"/>
    <n v="0.7"/>
    <n v="1.4"/>
    <n v="0.5"/>
    <n v="2"/>
    <n v="4.4000000000000004"/>
    <n v="6.4"/>
    <n v="1.1000000000000001"/>
    <n v="0.6"/>
    <n v="0.8"/>
    <n v="1"/>
    <n v="1.3"/>
    <n v="5.4"/>
  </r>
  <r>
    <n v="3080"/>
    <x v="307"/>
    <x v="3"/>
    <x v="26"/>
    <x v="3"/>
    <x v="20"/>
    <n v="6"/>
    <n v="19.899999999999999"/>
    <n v="2"/>
    <n v="4.9000000000000004"/>
    <n v="0.4081632653061224"/>
    <n v="1.3"/>
    <n v="3.5"/>
    <n v="0.37142857142857144"/>
    <n v="0.7"/>
    <n v="1.4"/>
    <n v="14"/>
    <n v="0.5"/>
    <n v="0"/>
    <n v="0"/>
    <n v="0"/>
    <n v="0.6"/>
    <n v="1.9"/>
    <n v="2.5"/>
    <n v="1"/>
    <n v="0.5"/>
    <n v="0.3"/>
    <n v="0.3"/>
    <n v="2.5"/>
    <n v="5.4"/>
  </r>
  <r>
    <n v="3110"/>
    <x v="308"/>
    <x v="6"/>
    <x v="11"/>
    <x v="3"/>
    <x v="20"/>
    <n v="1"/>
    <n v="17"/>
    <n v="1.8"/>
    <n v="4.8"/>
    <n v="0.375"/>
    <n v="0.9"/>
    <n v="2.9"/>
    <n v="0.31034482758620691"/>
    <n v="1"/>
    <n v="1.9"/>
    <n v="19"/>
    <n v="0.52631578947368418"/>
    <n v="0.9"/>
    <n v="1.1000000000000001"/>
    <n v="0.81818181818181812"/>
    <n v="0.1"/>
    <n v="0.8"/>
    <n v="1"/>
    <n v="1.3"/>
    <n v="0.6"/>
    <n v="0.3"/>
    <n v="0.7"/>
    <n v="0.7"/>
    <n v="5.3"/>
  </r>
  <r>
    <n v="3120"/>
    <x v="309"/>
    <x v="10"/>
    <x v="22"/>
    <x v="3"/>
    <x v="31"/>
    <n v="0"/>
    <n v="15"/>
    <n v="2.2999999999999998"/>
    <n v="6.3"/>
    <n v="0.36507936507936506"/>
    <n v="0.3"/>
    <n v="2.7"/>
    <n v="0.1111111111111111"/>
    <n v="2"/>
    <n v="3.7"/>
    <n v="37"/>
    <n v="0.54054054054054046"/>
    <n v="0.3"/>
    <n v="1.3"/>
    <n v="0.23076923076923075"/>
    <n v="1.3"/>
    <n v="2.2999999999999998"/>
    <n v="3.7"/>
    <n v="3"/>
    <n v="0"/>
    <n v="0.7"/>
    <n v="2.2999999999999998"/>
    <n v="3"/>
    <n v="5.3"/>
  </r>
  <r>
    <n v="3090"/>
    <x v="310"/>
    <x v="7"/>
    <x v="24"/>
    <x v="1"/>
    <x v="22"/>
    <n v="0"/>
    <n v="18.5"/>
    <n v="1.7"/>
    <n v="5.3"/>
    <n v="0.32075471698113206"/>
    <n v="1.3"/>
    <n v="4.4000000000000004"/>
    <n v="0.29545454545454541"/>
    <n v="0.4"/>
    <n v="0.9"/>
    <n v="9"/>
    <n v="0.44444444444444448"/>
    <n v="0.5"/>
    <n v="0.7"/>
    <n v="0.7142857142857143"/>
    <n v="0.4"/>
    <n v="3"/>
    <n v="3.4"/>
    <n v="3.7"/>
    <n v="1.3"/>
    <n v="0.5"/>
    <n v="1.1000000000000001"/>
    <n v="1.4"/>
    <n v="5.3"/>
  </r>
  <r>
    <n v="3100"/>
    <x v="311"/>
    <x v="8"/>
    <x v="21"/>
    <x v="3"/>
    <x v="21"/>
    <n v="0"/>
    <n v="12.4"/>
    <n v="1.8"/>
    <n v="4.7"/>
    <n v="0.38297872340425532"/>
    <n v="0.4"/>
    <n v="1.9"/>
    <n v="0.2105263157894737"/>
    <n v="1.4"/>
    <n v="2.8"/>
    <n v="28"/>
    <n v="0.5"/>
    <n v="1.3"/>
    <n v="1.8"/>
    <n v="0.72222222222222221"/>
    <n v="0.5"/>
    <n v="1.6"/>
    <n v="2.1"/>
    <n v="1.7"/>
    <n v="0.3"/>
    <n v="0.2"/>
    <n v="0.8"/>
    <n v="0.9"/>
    <n v="5.3"/>
  </r>
  <r>
    <n v="3150"/>
    <x v="312"/>
    <x v="17"/>
    <x v="15"/>
    <x v="2"/>
    <x v="23"/>
    <n v="0"/>
    <n v="10.3"/>
    <n v="2.2000000000000002"/>
    <n v="3.5"/>
    <n v="0.62857142857142867"/>
    <n v="0.4"/>
    <n v="0.9"/>
    <n v="0.44444444444444448"/>
    <n v="1.8"/>
    <n v="2.6"/>
    <n v="26"/>
    <n v="0.69230769230769229"/>
    <n v="0.5"/>
    <n v="0.7"/>
    <n v="0.7142857142857143"/>
    <n v="0.5"/>
    <n v="2.1"/>
    <n v="2.5"/>
    <n v="0.4"/>
    <n v="0.4"/>
    <n v="0.8"/>
    <n v="0.5"/>
    <n v="1"/>
    <n v="5.2"/>
  </r>
  <r>
    <n v="3140"/>
    <x v="313"/>
    <x v="5"/>
    <x v="17"/>
    <x v="2"/>
    <x v="11"/>
    <n v="0"/>
    <n v="11.5"/>
    <n v="1.9"/>
    <n v="3.4"/>
    <n v="0.55882352941176472"/>
    <n v="0.3"/>
    <n v="0.8"/>
    <n v="0.37499999999999994"/>
    <n v="1.7"/>
    <n v="2.6"/>
    <n v="26"/>
    <n v="0.65384615384615385"/>
    <n v="1"/>
    <n v="1.2"/>
    <n v="0.83333333333333337"/>
    <n v="0.8"/>
    <n v="1.6"/>
    <n v="2.4"/>
    <n v="1.1000000000000001"/>
    <n v="1.3"/>
    <n v="0.7"/>
    <n v="0.6"/>
    <n v="1.8"/>
    <n v="5.2"/>
  </r>
  <r>
    <n v="3130"/>
    <x v="314"/>
    <x v="12"/>
    <x v="3"/>
    <x v="3"/>
    <x v="2"/>
    <n v="8"/>
    <n v="13.8"/>
    <n v="1.9"/>
    <n v="4.2"/>
    <n v="0.45238095238095233"/>
    <n v="0.9"/>
    <n v="2.2000000000000002"/>
    <n v="0.40909090909090906"/>
    <n v="1"/>
    <n v="2"/>
    <n v="20"/>
    <n v="0.5"/>
    <n v="0.4"/>
    <n v="0.5"/>
    <n v="0.8"/>
    <n v="0.4"/>
    <n v="1"/>
    <n v="1.4"/>
    <n v="0.5"/>
    <n v="0.5"/>
    <n v="0.2"/>
    <n v="0.3"/>
    <n v="1"/>
    <n v="5.2"/>
  </r>
  <r>
    <n v="3170"/>
    <x v="315"/>
    <x v="10"/>
    <x v="25"/>
    <x v="3"/>
    <x v="17"/>
    <n v="0"/>
    <n v="9.9"/>
    <n v="2"/>
    <n v="4.5"/>
    <n v="0.44444444444444442"/>
    <n v="0.3"/>
    <n v="1.1000000000000001"/>
    <n v="0.27272727272727271"/>
    <n v="1.7"/>
    <n v="3.4"/>
    <n v="34"/>
    <n v="0.5"/>
    <n v="0.7"/>
    <n v="1"/>
    <n v="0.7"/>
    <n v="0.3"/>
    <n v="0.6"/>
    <n v="0.9"/>
    <n v="2.2999999999999998"/>
    <n v="0.3"/>
    <n v="0.1"/>
    <n v="0.8"/>
    <n v="1"/>
    <n v="5.0999999999999996"/>
  </r>
  <r>
    <n v="3200"/>
    <x v="316"/>
    <x v="3"/>
    <x v="18"/>
    <x v="0"/>
    <x v="1"/>
    <n v="6"/>
    <n v="16.600000000000001"/>
    <n v="2"/>
    <n v="4.3"/>
    <n v="0.46511627906976744"/>
    <n v="0.2"/>
    <n v="0.7"/>
    <n v="0.28571428571428575"/>
    <n v="1.8"/>
    <n v="3.6"/>
    <n v="36"/>
    <n v="0.5"/>
    <n v="1"/>
    <n v="1.4"/>
    <n v="0.7142857142857143"/>
    <n v="1.8"/>
    <n v="2.5"/>
    <n v="4.3"/>
    <n v="1.6"/>
    <n v="0.8"/>
    <n v="0.5"/>
    <n v="0.9"/>
    <n v="1.8"/>
    <n v="5.0999999999999996"/>
  </r>
  <r>
    <n v="3190"/>
    <x v="317"/>
    <x v="3"/>
    <x v="15"/>
    <x v="3"/>
    <x v="11"/>
    <n v="0"/>
    <n v="15.4"/>
    <n v="1.8"/>
    <n v="3.7"/>
    <n v="0.48648648648648646"/>
    <n v="0.6"/>
    <n v="1.7"/>
    <n v="0.35294117647058826"/>
    <n v="1.3"/>
    <n v="2.1"/>
    <n v="21"/>
    <n v="0.61904761904761907"/>
    <n v="0.8"/>
    <n v="1.3"/>
    <n v="0.61538461538461542"/>
    <n v="0.5"/>
    <n v="1.2"/>
    <n v="1.7"/>
    <n v="1.3"/>
    <n v="0.5"/>
    <n v="0"/>
    <n v="0.5"/>
    <n v="2.2000000000000002"/>
    <n v="5.0999999999999996"/>
  </r>
  <r>
    <n v="3160"/>
    <x v="318"/>
    <x v="9"/>
    <x v="23"/>
    <x v="0"/>
    <x v="9"/>
    <n v="2"/>
    <n v="14.3"/>
    <n v="2"/>
    <n v="4.7"/>
    <n v="0.42553191489361702"/>
    <n v="0.6"/>
    <n v="1.6"/>
    <n v="0.37499999999999994"/>
    <n v="1.4"/>
    <n v="3.1"/>
    <n v="31"/>
    <n v="0.45161290322580638"/>
    <n v="0.6"/>
    <n v="0.9"/>
    <n v="0.66666666666666663"/>
    <n v="0.6"/>
    <n v="2.2999999999999998"/>
    <n v="2.9"/>
    <n v="2.1"/>
    <n v="0.7"/>
    <n v="0.4"/>
    <n v="0.5"/>
    <n v="1"/>
    <n v="5.0999999999999996"/>
  </r>
  <r>
    <n v="3180"/>
    <x v="319"/>
    <x v="17"/>
    <x v="24"/>
    <x v="4"/>
    <x v="5"/>
    <n v="0"/>
    <n v="13.1"/>
    <n v="1.8"/>
    <n v="4.9000000000000004"/>
    <n v="0.36734693877551017"/>
    <n v="0.8"/>
    <n v="2.4"/>
    <n v="0.33333333333333337"/>
    <n v="1"/>
    <n v="2.4"/>
    <n v="24"/>
    <n v="0.41666666666666669"/>
    <n v="0.7"/>
    <n v="0.9"/>
    <n v="0.77777777777777768"/>
    <n v="0.6"/>
    <n v="2.1"/>
    <n v="2.7"/>
    <n v="0.5"/>
    <n v="0.3"/>
    <n v="0.8"/>
    <n v="0.6"/>
    <n v="1.4"/>
    <n v="5.0999999999999996"/>
  </r>
  <r>
    <n v="3230"/>
    <x v="320"/>
    <x v="4"/>
    <x v="18"/>
    <x v="1"/>
    <x v="14"/>
    <n v="0"/>
    <n v="15.8"/>
    <n v="2"/>
    <n v="4.9000000000000004"/>
    <n v="0.4081632653061224"/>
    <n v="0.6"/>
    <n v="2.1"/>
    <n v="0.2857142857142857"/>
    <n v="1.4"/>
    <n v="2.8"/>
    <n v="28"/>
    <n v="0.5"/>
    <n v="0.3"/>
    <n v="0.5"/>
    <n v="0.6"/>
    <n v="0.2"/>
    <n v="0.9"/>
    <n v="1.2"/>
    <n v="3.4"/>
    <n v="0.6"/>
    <n v="0.1"/>
    <n v="1.5"/>
    <n v="1.7"/>
    <n v="5"/>
  </r>
  <r>
    <n v="3210"/>
    <x v="321"/>
    <x v="18"/>
    <x v="16"/>
    <x v="3"/>
    <x v="27"/>
    <n v="0"/>
    <n v="18"/>
    <n v="2"/>
    <n v="7"/>
    <n v="0.2857142857142857"/>
    <n v="1"/>
    <n v="4"/>
    <n v="0.25"/>
    <n v="1"/>
    <n v="3"/>
    <n v="30"/>
    <n v="0.33333333333333331"/>
    <n v="0"/>
    <n v="0"/>
    <n v="0"/>
    <n v="1"/>
    <n v="2"/>
    <n v="3"/>
    <n v="0"/>
    <n v="2"/>
    <n v="0"/>
    <n v="1"/>
    <n v="0"/>
    <n v="5"/>
  </r>
  <r>
    <n v="3240"/>
    <x v="322"/>
    <x v="5"/>
    <x v="17"/>
    <x v="3"/>
    <x v="27"/>
    <n v="0"/>
    <n v="4"/>
    <n v="2"/>
    <n v="2"/>
    <n v="1"/>
    <n v="1"/>
    <n v="1"/>
    <n v="1"/>
    <n v="1"/>
    <n v="1"/>
    <n v="10"/>
    <n v="1"/>
    <n v="0"/>
    <n v="0"/>
    <n v="0"/>
    <n v="0"/>
    <n v="0"/>
    <n v="0"/>
    <n v="1"/>
    <n v="0"/>
    <n v="0"/>
    <n v="0"/>
    <n v="0"/>
    <n v="5"/>
  </r>
  <r>
    <n v="3220"/>
    <x v="323"/>
    <x v="18"/>
    <x v="3"/>
    <x v="0"/>
    <x v="7"/>
    <n v="8"/>
    <n v="19.2"/>
    <n v="1.7"/>
    <n v="5.3"/>
    <n v="0.32075471698113206"/>
    <n v="1"/>
    <n v="3.3"/>
    <n v="0.30303030303030304"/>
    <n v="0.8"/>
    <n v="2"/>
    <n v="20"/>
    <n v="0.4"/>
    <n v="0.6"/>
    <n v="0.9"/>
    <n v="0.66666666666666663"/>
    <n v="1"/>
    <n v="3.2"/>
    <n v="4.2"/>
    <n v="1.1000000000000001"/>
    <n v="0.6"/>
    <n v="0.2"/>
    <n v="0.8"/>
    <n v="1.4"/>
    <n v="5"/>
  </r>
  <r>
    <n v="3250"/>
    <x v="324"/>
    <x v="5"/>
    <x v="25"/>
    <x v="2"/>
    <x v="11"/>
    <n v="1"/>
    <n v="8.6999999999999993"/>
    <n v="2"/>
    <n v="3.7"/>
    <n v="0.54054054054054046"/>
    <n v="0.1"/>
    <n v="0.5"/>
    <n v="0.2"/>
    <n v="1.9"/>
    <n v="3.2"/>
    <n v="32"/>
    <n v="0.59374999999999989"/>
    <n v="0.8"/>
    <n v="1.2"/>
    <n v="0.66666666666666674"/>
    <n v="1.4"/>
    <n v="1.5"/>
    <n v="2.9"/>
    <n v="0.4"/>
    <n v="0.4"/>
    <n v="0.3"/>
    <n v="0.6"/>
    <n v="0.6"/>
    <n v="4.9000000000000004"/>
  </r>
  <r>
    <n v="3260"/>
    <x v="325"/>
    <x v="11"/>
    <x v="23"/>
    <x v="2"/>
    <x v="7"/>
    <n v="5"/>
    <n v="15.5"/>
    <n v="2.1"/>
    <n v="4"/>
    <n v="0.52500000000000002"/>
    <n v="0"/>
    <n v="0"/>
    <n v="0"/>
    <n v="2.1"/>
    <n v="4"/>
    <n v="40"/>
    <n v="0.52500000000000002"/>
    <n v="0.6"/>
    <n v="1.4"/>
    <n v="0.4285714285714286"/>
    <n v="3"/>
    <n v="3.8"/>
    <n v="6.8"/>
    <n v="1.7"/>
    <n v="0.7"/>
    <n v="0.2"/>
    <n v="0.6"/>
    <n v="2.2000000000000002"/>
    <n v="4.9000000000000004"/>
  </r>
  <r>
    <n v="3280"/>
    <x v="326"/>
    <x v="7"/>
    <x v="28"/>
    <x v="2"/>
    <x v="19"/>
    <n v="0"/>
    <n v="13.3"/>
    <n v="2"/>
    <n v="3.2"/>
    <n v="0.625"/>
    <n v="0.1"/>
    <n v="0.2"/>
    <n v="0.5"/>
    <n v="1.9"/>
    <n v="3"/>
    <n v="30"/>
    <n v="0.6333333333333333"/>
    <n v="0.8"/>
    <n v="1.3"/>
    <n v="0.61538461538461542"/>
    <n v="1.1000000000000001"/>
    <n v="2.8"/>
    <n v="3.8"/>
    <n v="1.1000000000000001"/>
    <n v="0.2"/>
    <n v="0.6"/>
    <n v="0.8"/>
    <n v="1.3"/>
    <n v="4.8"/>
  </r>
  <r>
    <n v="3270"/>
    <x v="327"/>
    <x v="10"/>
    <x v="9"/>
    <x v="2"/>
    <x v="3"/>
    <n v="0"/>
    <n v="10.4"/>
    <n v="2"/>
    <n v="3.6"/>
    <n v="0.55555555555555558"/>
    <n v="0"/>
    <n v="0"/>
    <n v="0"/>
    <n v="2"/>
    <n v="3.6"/>
    <n v="36"/>
    <n v="0.55555555555555558"/>
    <n v="0.7"/>
    <n v="1.1000000000000001"/>
    <n v="0.63636363636363624"/>
    <n v="1.5"/>
    <n v="2.7"/>
    <n v="4.2"/>
    <n v="0.5"/>
    <n v="0.3"/>
    <n v="1"/>
    <n v="0.7"/>
    <n v="1.4"/>
    <n v="4.8"/>
  </r>
  <r>
    <n v="3290"/>
    <x v="328"/>
    <x v="8"/>
    <x v="28"/>
    <x v="0"/>
    <x v="31"/>
    <n v="3"/>
    <n v="25"/>
    <n v="1.3"/>
    <n v="6"/>
    <n v="0.21666666666666667"/>
    <n v="1"/>
    <n v="4"/>
    <n v="0.25"/>
    <n v="0.3"/>
    <n v="2"/>
    <n v="20"/>
    <n v="0.15"/>
    <n v="1"/>
    <n v="1.3"/>
    <n v="0.76923076923076916"/>
    <n v="1.7"/>
    <n v="3.3"/>
    <n v="5"/>
    <n v="0.7"/>
    <n v="1.7"/>
    <n v="1.3"/>
    <n v="0.7"/>
    <n v="2.7"/>
    <n v="4.7"/>
  </r>
  <r>
    <n v="3320"/>
    <x v="329"/>
    <x v="4"/>
    <x v="19"/>
    <x v="0"/>
    <x v="15"/>
    <n v="0"/>
    <n v="5"/>
    <n v="1.5"/>
    <n v="2"/>
    <n v="0.75"/>
    <n v="0.5"/>
    <n v="0.7"/>
    <n v="0.7142857142857143"/>
    <n v="1"/>
    <n v="1.3"/>
    <n v="13"/>
    <n v="0.76923076923076916"/>
    <n v="1.2"/>
    <n v="1.3"/>
    <n v="0.92307692307692302"/>
    <n v="0.5"/>
    <n v="0.5"/>
    <n v="1"/>
    <n v="0"/>
    <n v="0.3"/>
    <n v="0.5"/>
    <n v="0.5"/>
    <n v="0.7"/>
    <n v="4.7"/>
  </r>
  <r>
    <n v="3300"/>
    <x v="330"/>
    <x v="2"/>
    <x v="5"/>
    <x v="2"/>
    <x v="7"/>
    <n v="3"/>
    <n v="16.8"/>
    <n v="1.8"/>
    <n v="2.9"/>
    <n v="0.62068965517241381"/>
    <n v="0"/>
    <n v="0"/>
    <n v="0"/>
    <n v="1.8"/>
    <n v="2.9"/>
    <n v="29"/>
    <n v="0.62068965517241381"/>
    <n v="1.1000000000000001"/>
    <n v="1.5"/>
    <n v="0.73333333333333339"/>
    <n v="2.2000000000000002"/>
    <n v="3"/>
    <n v="5.0999999999999996"/>
    <n v="1.6"/>
    <n v="0.5"/>
    <n v="1"/>
    <n v="0.4"/>
    <n v="1.2"/>
    <n v="4.7"/>
  </r>
  <r>
    <n v="3330"/>
    <x v="331"/>
    <x v="5"/>
    <x v="21"/>
    <x v="1"/>
    <x v="26"/>
    <n v="1"/>
    <n v="15.5"/>
    <n v="1.8"/>
    <n v="4.4000000000000004"/>
    <n v="0.40909090909090906"/>
    <n v="0.8"/>
    <n v="2.2999999999999998"/>
    <n v="0.34782608695652178"/>
    <n v="1"/>
    <n v="2.1"/>
    <n v="21"/>
    <n v="0.47619047619047616"/>
    <n v="0.3"/>
    <n v="0.3"/>
    <n v="1"/>
    <n v="0.1"/>
    <n v="1.3"/>
    <n v="1.4"/>
    <n v="1.9"/>
    <n v="0.8"/>
    <n v="0.4"/>
    <n v="1.1000000000000001"/>
    <n v="0.9"/>
    <n v="4.7"/>
  </r>
  <r>
    <n v="3310"/>
    <x v="332"/>
    <x v="3"/>
    <x v="21"/>
    <x v="0"/>
    <x v="11"/>
    <n v="1"/>
    <n v="12.8"/>
    <n v="1.7"/>
    <n v="3.2"/>
    <n v="0.53125"/>
    <n v="0.7"/>
    <n v="1.6"/>
    <n v="0.43749999999999994"/>
    <n v="1.1000000000000001"/>
    <n v="1.6"/>
    <n v="16"/>
    <n v="0.6875"/>
    <n v="0.6"/>
    <n v="0.7"/>
    <n v="0.85714285714285721"/>
    <n v="0.3"/>
    <n v="2.1"/>
    <n v="2.4"/>
    <n v="1.1000000000000001"/>
    <n v="0.4"/>
    <n v="0.2"/>
    <n v="0.9"/>
    <n v="0.6"/>
    <n v="4.7"/>
  </r>
  <r>
    <n v="3340"/>
    <x v="333"/>
    <x v="13"/>
    <x v="0"/>
    <x v="3"/>
    <x v="23"/>
    <n v="0"/>
    <n v="16.399999999999999"/>
    <n v="1.6"/>
    <n v="4.4000000000000004"/>
    <n v="0.36363636363636365"/>
    <n v="0.8"/>
    <n v="2.8"/>
    <n v="0.28571428571428575"/>
    <n v="0.8"/>
    <n v="1.6"/>
    <n v="16"/>
    <n v="0.5"/>
    <n v="0.5"/>
    <n v="0.7"/>
    <n v="0.7142857142857143"/>
    <n v="0.6"/>
    <n v="2.4"/>
    <n v="2.9"/>
    <n v="1.6"/>
    <n v="0.2"/>
    <n v="0.4"/>
    <n v="0.6"/>
    <n v="1.2"/>
    <n v="4.5999999999999996"/>
  </r>
  <r>
    <n v="3350"/>
    <x v="334"/>
    <x v="13"/>
    <x v="23"/>
    <x v="3"/>
    <x v="12"/>
    <n v="4"/>
    <n v="13.1"/>
    <n v="2.1"/>
    <n v="3.8"/>
    <n v="0.55263157894736847"/>
    <n v="0.2"/>
    <n v="1.1000000000000001"/>
    <n v="0.18181818181818182"/>
    <n v="1.9"/>
    <n v="2.6"/>
    <n v="26"/>
    <n v="0.73076923076923073"/>
    <n v="0.3"/>
    <n v="0.5"/>
    <n v="0.6"/>
    <n v="1.2"/>
    <n v="1.6"/>
    <n v="2.8"/>
    <n v="1.2"/>
    <n v="0.7"/>
    <n v="0.4"/>
    <n v="0.5"/>
    <n v="1.4"/>
    <n v="4.5999999999999996"/>
  </r>
  <r>
    <n v="3360"/>
    <x v="335"/>
    <x v="8"/>
    <x v="24"/>
    <x v="4"/>
    <x v="10"/>
    <n v="3"/>
    <n v="13.7"/>
    <n v="1.6"/>
    <n v="3.8"/>
    <n v="0.4210526315789474"/>
    <n v="0.7"/>
    <n v="2.2999999999999998"/>
    <n v="0.30434782608695654"/>
    <n v="0.9"/>
    <n v="1.5"/>
    <n v="15"/>
    <n v="0.6"/>
    <n v="0.6"/>
    <n v="0.9"/>
    <n v="0.66666666666666663"/>
    <n v="0.8"/>
    <n v="1.2"/>
    <n v="2"/>
    <n v="0.5"/>
    <n v="0.5"/>
    <n v="0.2"/>
    <n v="0.4"/>
    <n v="1.5"/>
    <n v="4.5999999999999996"/>
  </r>
  <r>
    <n v="3380"/>
    <x v="336"/>
    <x v="4"/>
    <x v="3"/>
    <x v="1"/>
    <x v="25"/>
    <n v="0"/>
    <n v="14.5"/>
    <n v="1.5"/>
    <n v="5.2"/>
    <n v="0.28846153846153844"/>
    <n v="0.5"/>
    <n v="2.5"/>
    <n v="0.2"/>
    <n v="1.1000000000000001"/>
    <n v="2.6"/>
    <n v="26"/>
    <n v="0.42307692307692307"/>
    <n v="0.9"/>
    <n v="1.4"/>
    <n v="0.6428571428571429"/>
    <n v="1"/>
    <n v="0.8"/>
    <n v="1.8"/>
    <n v="1.8"/>
    <n v="0.8"/>
    <n v="0.2"/>
    <n v="0.9"/>
    <n v="1.3"/>
    <n v="4.5"/>
  </r>
  <r>
    <n v="3370"/>
    <x v="337"/>
    <x v="17"/>
    <x v="13"/>
    <x v="4"/>
    <x v="33"/>
    <n v="0"/>
    <n v="7"/>
    <n v="1.5"/>
    <n v="2.8"/>
    <n v="0.5357142857142857"/>
    <n v="1.5"/>
    <n v="2.5"/>
    <n v="0.6"/>
    <n v="0"/>
    <n v="0.3"/>
    <n v="3"/>
    <n v="0"/>
    <n v="0"/>
    <n v="0"/>
    <n v="0"/>
    <n v="0"/>
    <n v="0.8"/>
    <n v="0.8"/>
    <n v="0.3"/>
    <n v="0.8"/>
    <n v="0.3"/>
    <n v="0.8"/>
    <n v="0.3"/>
    <n v="4.5"/>
  </r>
  <r>
    <n v="3400"/>
    <x v="338"/>
    <x v="5"/>
    <x v="9"/>
    <x v="0"/>
    <x v="20"/>
    <n v="0"/>
    <n v="9.1999999999999993"/>
    <n v="1.5"/>
    <n v="2.8"/>
    <n v="0.5357142857142857"/>
    <n v="0.8"/>
    <n v="1.9"/>
    <n v="0.4210526315789474"/>
    <n v="0.7"/>
    <n v="0.9"/>
    <n v="9"/>
    <n v="0.77777777777777768"/>
    <n v="0.5"/>
    <n v="0.7"/>
    <n v="0.7142857142857143"/>
    <n v="0.6"/>
    <n v="2.2000000000000002"/>
    <n v="2.8"/>
    <n v="0.4"/>
    <n v="0.1"/>
    <n v="0.3"/>
    <n v="0.4"/>
    <n v="0.6"/>
    <n v="4.4000000000000004"/>
  </r>
  <r>
    <n v="3430"/>
    <x v="339"/>
    <x v="4"/>
    <x v="1"/>
    <x v="0"/>
    <x v="32"/>
    <n v="0"/>
    <n v="12.4"/>
    <n v="1.6"/>
    <n v="4.0999999999999996"/>
    <n v="0.39024390243902446"/>
    <n v="1.3"/>
    <n v="3.7"/>
    <n v="0.35135135135135137"/>
    <n v="0.3"/>
    <n v="0.4"/>
    <n v="4"/>
    <n v="0.74999999999999989"/>
    <n v="0"/>
    <n v="0"/>
    <n v="0"/>
    <n v="0.6"/>
    <n v="2.2999999999999998"/>
    <n v="2.9"/>
    <n v="2"/>
    <n v="0.3"/>
    <n v="0.3"/>
    <n v="0.3"/>
    <n v="1.1000000000000001"/>
    <n v="4.4000000000000004"/>
  </r>
  <r>
    <n v="3410"/>
    <x v="340"/>
    <x v="10"/>
    <x v="20"/>
    <x v="3"/>
    <x v="26"/>
    <n v="0"/>
    <n v="9.3000000000000007"/>
    <n v="1.8"/>
    <n v="4.4000000000000004"/>
    <n v="0.40909090909090906"/>
    <n v="0.6"/>
    <n v="2.1"/>
    <n v="0.2857142857142857"/>
    <n v="1.2"/>
    <n v="2.2999999999999998"/>
    <n v="23"/>
    <n v="0.52173913043478259"/>
    <n v="0.4"/>
    <n v="0.4"/>
    <n v="1"/>
    <n v="0.4"/>
    <n v="0.8"/>
    <n v="1.1000000000000001"/>
    <n v="0.6"/>
    <n v="0.3"/>
    <n v="0"/>
    <n v="0.3"/>
    <n v="0.4"/>
    <n v="4.4000000000000004"/>
  </r>
  <r>
    <n v="3420"/>
    <x v="341"/>
    <x v="4"/>
    <x v="0"/>
    <x v="1"/>
    <x v="16"/>
    <n v="4"/>
    <n v="11.6"/>
    <n v="1.7"/>
    <n v="3.6"/>
    <n v="0.47222222222222221"/>
    <n v="0.7"/>
    <n v="1.7"/>
    <n v="0.41176470588235292"/>
    <n v="0.9"/>
    <n v="1.9"/>
    <n v="19"/>
    <n v="0.47368421052631582"/>
    <n v="0.4"/>
    <n v="0.5"/>
    <n v="0.8"/>
    <n v="0.3"/>
    <n v="1.4"/>
    <n v="1.8"/>
    <n v="1.1000000000000001"/>
    <n v="0.9"/>
    <n v="0.4"/>
    <n v="0.9"/>
    <n v="1.3"/>
    <n v="4.4000000000000004"/>
  </r>
  <r>
    <n v="3390"/>
    <x v="342"/>
    <x v="7"/>
    <x v="30"/>
    <x v="2"/>
    <x v="11"/>
    <n v="0"/>
    <n v="11.1"/>
    <n v="1.5"/>
    <n v="3.1"/>
    <n v="0.48387096774193544"/>
    <n v="0.6"/>
    <n v="1.7"/>
    <n v="0.35294117647058826"/>
    <n v="0.9"/>
    <n v="1.4"/>
    <n v="14"/>
    <n v="0.6428571428571429"/>
    <n v="0.7"/>
    <n v="0.7"/>
    <n v="1"/>
    <n v="0.8"/>
    <n v="2.2999999999999998"/>
    <n v="3.1"/>
    <n v="0.4"/>
    <n v="0.3"/>
    <n v="0.6"/>
    <n v="0.2"/>
    <n v="0.9"/>
    <n v="4.4000000000000004"/>
  </r>
  <r>
    <n v="3450"/>
    <x v="343"/>
    <x v="12"/>
    <x v="7"/>
    <x v="2"/>
    <x v="14"/>
    <n v="9"/>
    <n v="17.5"/>
    <n v="1.6"/>
    <n v="2.7"/>
    <n v="0.59259259259259256"/>
    <n v="0"/>
    <n v="0"/>
    <n v="0"/>
    <n v="1.6"/>
    <n v="2.7"/>
    <n v="27"/>
    <n v="0.59259259259259256"/>
    <n v="1.1000000000000001"/>
    <n v="1.8"/>
    <n v="0.61111111111111116"/>
    <n v="1.6"/>
    <n v="4.5999999999999996"/>
    <n v="6.2"/>
    <n v="1.8"/>
    <n v="0.3"/>
    <n v="0.8"/>
    <n v="0.8"/>
    <n v="2"/>
    <n v="4.3"/>
  </r>
  <r>
    <n v="3440"/>
    <x v="344"/>
    <x v="5"/>
    <x v="20"/>
    <x v="4"/>
    <x v="26"/>
    <n v="0"/>
    <n v="14.1"/>
    <n v="1.6"/>
    <n v="3.4"/>
    <n v="0.4705882352941177"/>
    <n v="0.6"/>
    <n v="1.8"/>
    <n v="0.33333333333333331"/>
    <n v="1"/>
    <n v="1.7"/>
    <n v="17"/>
    <n v="0.58823529411764708"/>
    <n v="0.6"/>
    <n v="1"/>
    <n v="0.6"/>
    <n v="0.9"/>
    <n v="1.9"/>
    <n v="2.8"/>
    <n v="0.6"/>
    <n v="0.5"/>
    <n v="0.4"/>
    <n v="0.4"/>
    <n v="1.3"/>
    <n v="4.3"/>
  </r>
  <r>
    <n v="3460"/>
    <x v="345"/>
    <x v="11"/>
    <x v="10"/>
    <x v="1"/>
    <x v="14"/>
    <n v="5"/>
    <n v="18.899999999999999"/>
    <n v="1.6"/>
    <n v="4.3"/>
    <n v="0.372093023255814"/>
    <n v="0.9"/>
    <n v="2.8"/>
    <n v="0.32142857142857145"/>
    <n v="0.7"/>
    <n v="1.5"/>
    <n v="15"/>
    <n v="0.46666666666666662"/>
    <n v="0.1"/>
    <n v="0.3"/>
    <n v="0.33333333333333337"/>
    <n v="0.3"/>
    <n v="1"/>
    <n v="1.3"/>
    <n v="0.9"/>
    <n v="0.8"/>
    <n v="0.2"/>
    <n v="0.6"/>
    <n v="1.9"/>
    <n v="4.3"/>
  </r>
  <r>
    <n v="3470"/>
    <x v="346"/>
    <x v="4"/>
    <x v="24"/>
    <x v="3"/>
    <x v="14"/>
    <n v="1"/>
    <n v="13.8"/>
    <n v="1.5"/>
    <n v="3.1"/>
    <n v="0.48387096774193544"/>
    <n v="0.4"/>
    <n v="1.2"/>
    <n v="0.33333333333333337"/>
    <n v="1.1000000000000001"/>
    <n v="1.9"/>
    <n v="19"/>
    <n v="0.57894736842105265"/>
    <n v="0.8"/>
    <n v="1.2"/>
    <n v="0.66666666666666674"/>
    <n v="0.6"/>
    <n v="0.9"/>
    <n v="1.5"/>
    <n v="1.1000000000000001"/>
    <n v="0.5"/>
    <n v="0.3"/>
    <n v="0.9"/>
    <n v="1.5"/>
    <n v="4.2"/>
  </r>
  <r>
    <n v="3500"/>
    <x v="347"/>
    <x v="20"/>
    <x v="11"/>
    <x v="1"/>
    <x v="19"/>
    <n v="12"/>
    <n v="19.7"/>
    <n v="1.2"/>
    <n v="3.5"/>
    <n v="0.34285714285714286"/>
    <n v="0.9"/>
    <n v="2.7"/>
    <n v="0.33333333333333331"/>
    <n v="0.3"/>
    <n v="0.9"/>
    <n v="9"/>
    <n v="0.33333333333333331"/>
    <n v="0.8"/>
    <n v="1"/>
    <n v="0.8"/>
    <n v="0.3"/>
    <n v="1.5"/>
    <n v="1.8"/>
    <n v="2.7"/>
    <n v="1"/>
    <n v="0.3"/>
    <n v="0.7"/>
    <n v="1.9"/>
    <n v="4.0999999999999996"/>
  </r>
  <r>
    <n v="3490"/>
    <x v="348"/>
    <x v="0"/>
    <x v="4"/>
    <x v="3"/>
    <x v="18"/>
    <n v="2"/>
    <n v="16.3"/>
    <n v="1.5"/>
    <n v="3.6"/>
    <n v="0.41666666666666663"/>
    <n v="1"/>
    <n v="2.7"/>
    <n v="0.37037037037037035"/>
    <n v="0.5"/>
    <n v="0.9"/>
    <n v="9"/>
    <n v="0.55555555555555558"/>
    <n v="0.2"/>
    <n v="0.4"/>
    <n v="0.5"/>
    <n v="0.5"/>
    <n v="0.8"/>
    <n v="1.3"/>
    <n v="0.5"/>
    <n v="0.7"/>
    <n v="0.3"/>
    <n v="0.5"/>
    <n v="0.7"/>
    <n v="4.0999999999999996"/>
  </r>
  <r>
    <n v="3480"/>
    <x v="349"/>
    <x v="1"/>
    <x v="16"/>
    <x v="2"/>
    <x v="11"/>
    <n v="0"/>
    <n v="12.4"/>
    <n v="1.6"/>
    <n v="3.6"/>
    <n v="0.44444444444444448"/>
    <n v="0.4"/>
    <n v="1.7"/>
    <n v="0.23529411764705885"/>
    <n v="1.2"/>
    <n v="1.9"/>
    <n v="19"/>
    <n v="0.63157894736842102"/>
    <n v="0.5"/>
    <n v="0.7"/>
    <n v="0.7142857142857143"/>
    <n v="0.8"/>
    <n v="3.1"/>
    <n v="3.8"/>
    <n v="0.6"/>
    <n v="0.4"/>
    <n v="1"/>
    <n v="0.6"/>
    <n v="1.8"/>
    <n v="4.0999999999999996"/>
  </r>
  <r>
    <n v="3510"/>
    <x v="350"/>
    <x v="3"/>
    <x v="17"/>
    <x v="3"/>
    <x v="29"/>
    <n v="1"/>
    <n v="14.1"/>
    <n v="1.5"/>
    <n v="3.1"/>
    <n v="0.48387096774193544"/>
    <n v="0.2"/>
    <n v="0.9"/>
    <n v="0.22222222222222224"/>
    <n v="1.3"/>
    <n v="2.2000000000000002"/>
    <n v="22"/>
    <n v="0.59090909090909083"/>
    <n v="0.9"/>
    <n v="1"/>
    <n v="0.9"/>
    <n v="0.8"/>
    <n v="2.2000000000000002"/>
    <n v="3"/>
    <n v="1.5"/>
    <n v="0.7"/>
    <n v="0.2"/>
    <n v="0.6"/>
    <n v="1"/>
    <n v="4.0999999999999996"/>
  </r>
  <r>
    <n v="3530"/>
    <x v="351"/>
    <x v="1"/>
    <x v="28"/>
    <x v="2"/>
    <x v="30"/>
    <n v="2"/>
    <n v="18.100000000000001"/>
    <n v="1.4"/>
    <n v="3.3"/>
    <n v="0.42424242424242425"/>
    <n v="1.1000000000000001"/>
    <n v="2.8"/>
    <n v="0.3928571428571429"/>
    <n v="0.3"/>
    <n v="0.6"/>
    <n v="6"/>
    <n v="0.5"/>
    <n v="0"/>
    <n v="0"/>
    <n v="0"/>
    <n v="1.6"/>
    <n v="3.6"/>
    <n v="5.0999999999999996"/>
    <n v="1.3"/>
    <n v="0.2"/>
    <n v="0.4"/>
    <n v="0.7"/>
    <n v="1"/>
    <n v="4"/>
  </r>
  <r>
    <n v="3520"/>
    <x v="352"/>
    <x v="8"/>
    <x v="4"/>
    <x v="4"/>
    <x v="10"/>
    <n v="0"/>
    <n v="10.4"/>
    <n v="1.4"/>
    <n v="3.8"/>
    <n v="0.36842105263157893"/>
    <n v="0.8"/>
    <n v="2.8"/>
    <n v="0.28571428571428575"/>
    <n v="0.5"/>
    <n v="1"/>
    <n v="10"/>
    <n v="0.5"/>
    <n v="0.3"/>
    <n v="0.4"/>
    <n v="0.74999999999999989"/>
    <n v="0.3"/>
    <n v="0.8"/>
    <n v="1.1000000000000001"/>
    <n v="0.5"/>
    <n v="0.2"/>
    <n v="0.2"/>
    <n v="0.4"/>
    <n v="0.9"/>
    <n v="4"/>
  </r>
  <r>
    <n v="3540"/>
    <x v="353"/>
    <x v="9"/>
    <x v="15"/>
    <x v="3"/>
    <x v="28"/>
    <n v="0"/>
    <n v="18.8"/>
    <n v="1.4"/>
    <n v="4.8"/>
    <n v="0.29166666666666669"/>
    <n v="0.8"/>
    <n v="2.8"/>
    <n v="0.28571428571428575"/>
    <n v="0.6"/>
    <n v="2"/>
    <n v="20"/>
    <n v="0.3"/>
    <n v="0.5"/>
    <n v="0.5"/>
    <n v="1"/>
    <n v="0.8"/>
    <n v="0.8"/>
    <n v="1.5"/>
    <n v="1.5"/>
    <n v="1"/>
    <n v="0.1"/>
    <n v="1"/>
    <n v="2.1"/>
    <n v="4"/>
  </r>
  <r>
    <n v="3570"/>
    <x v="354"/>
    <x v="8"/>
    <x v="9"/>
    <x v="3"/>
    <x v="17"/>
    <n v="0"/>
    <n v="11.3"/>
    <n v="1.5"/>
    <n v="3.3"/>
    <n v="0.45454545454545459"/>
    <n v="0.2"/>
    <n v="0.9"/>
    <n v="0.22222222222222224"/>
    <n v="1.3"/>
    <n v="2.4"/>
    <n v="24"/>
    <n v="0.54166666666666674"/>
    <n v="0.7"/>
    <n v="0.9"/>
    <n v="0.77777777777777768"/>
    <n v="0.3"/>
    <n v="0.6"/>
    <n v="0.8"/>
    <n v="2"/>
    <n v="0.4"/>
    <n v="0.1"/>
    <n v="1"/>
    <n v="0.6"/>
    <n v="3.9"/>
  </r>
  <r>
    <n v="3560"/>
    <x v="355"/>
    <x v="10"/>
    <x v="29"/>
    <x v="4"/>
    <x v="9"/>
    <n v="0"/>
    <n v="12.4"/>
    <n v="1.6"/>
    <n v="3.4"/>
    <n v="0.4705882352941177"/>
    <n v="0.4"/>
    <n v="1.4"/>
    <n v="0.28571428571428575"/>
    <n v="1.1000000000000001"/>
    <n v="2"/>
    <n v="20"/>
    <n v="0.55000000000000004"/>
    <n v="0.3"/>
    <n v="0.8"/>
    <n v="0.37499999999999994"/>
    <n v="1"/>
    <n v="1.2"/>
    <n v="2.1"/>
    <n v="0.7"/>
    <n v="0.4"/>
    <n v="0.1"/>
    <n v="0.6"/>
    <n v="1"/>
    <n v="3.9"/>
  </r>
  <r>
    <n v="3550"/>
    <x v="356"/>
    <x v="1"/>
    <x v="14"/>
    <x v="2"/>
    <x v="30"/>
    <n v="0"/>
    <n v="5.0999999999999996"/>
    <n v="1.6"/>
    <n v="2.8"/>
    <n v="0.57142857142857151"/>
    <n v="0.2"/>
    <n v="0.9"/>
    <n v="0.22222222222222224"/>
    <n v="1.3"/>
    <n v="1.9"/>
    <n v="19"/>
    <n v="0.68421052631578949"/>
    <n v="0.6"/>
    <n v="0.9"/>
    <n v="0.66666666666666663"/>
    <n v="0.4"/>
    <n v="0.8"/>
    <n v="1.2"/>
    <n v="0.1"/>
    <n v="0.1"/>
    <n v="0"/>
    <n v="0.3"/>
    <n v="0.4"/>
    <n v="3.9"/>
  </r>
  <r>
    <n v="3580"/>
    <x v="357"/>
    <x v="4"/>
    <x v="7"/>
    <x v="0"/>
    <x v="0"/>
    <n v="2"/>
    <n v="15.9"/>
    <n v="1.7"/>
    <n v="2.8"/>
    <n v="0.60714285714285721"/>
    <n v="0"/>
    <n v="0"/>
    <n v="0"/>
    <n v="1.7"/>
    <n v="2.8"/>
    <n v="28"/>
    <n v="0.60714285714285721"/>
    <n v="0.4"/>
    <n v="0.7"/>
    <n v="0.57142857142857151"/>
    <n v="1"/>
    <n v="2.7"/>
    <n v="3.7"/>
    <n v="0.9"/>
    <n v="0.5"/>
    <n v="0.3"/>
    <n v="0.6"/>
    <n v="1.7"/>
    <n v="3.8"/>
  </r>
  <r>
    <n v="3590"/>
    <x v="358"/>
    <x v="12"/>
    <x v="11"/>
    <x v="1"/>
    <x v="23"/>
    <n v="0"/>
    <n v="11.7"/>
    <n v="1.4"/>
    <n v="3.6"/>
    <n v="0.38888888888888884"/>
    <n v="0.9"/>
    <n v="2.2000000000000002"/>
    <n v="0.40909090909090906"/>
    <n v="0.5"/>
    <n v="1.4"/>
    <n v="14"/>
    <n v="0.35714285714285715"/>
    <n v="0.1"/>
    <n v="0.1"/>
    <n v="1"/>
    <n v="0.2"/>
    <n v="1.1000000000000001"/>
    <n v="1.3"/>
    <n v="1.8"/>
    <n v="0.5"/>
    <n v="0.2"/>
    <n v="0.5"/>
    <n v="0.8"/>
    <n v="3.8"/>
  </r>
  <r>
    <n v="3610"/>
    <x v="359"/>
    <x v="13"/>
    <x v="20"/>
    <x v="2"/>
    <x v="8"/>
    <n v="7"/>
    <n v="14.7"/>
    <n v="1.4"/>
    <n v="3.2"/>
    <n v="0.43749999999999994"/>
    <n v="0.2"/>
    <n v="1"/>
    <n v="0.2"/>
    <n v="1.2"/>
    <n v="2.2000000000000002"/>
    <n v="22"/>
    <n v="0.54545454545454541"/>
    <n v="0.8"/>
    <n v="0.9"/>
    <n v="0.88888888888888895"/>
    <n v="0.8"/>
    <n v="2.8"/>
    <n v="3.7"/>
    <n v="1.4"/>
    <n v="0.4"/>
    <n v="0.6"/>
    <n v="0.7"/>
    <n v="1.8"/>
    <n v="3.8"/>
  </r>
  <r>
    <n v="3600"/>
    <x v="360"/>
    <x v="10"/>
    <x v="22"/>
    <x v="3"/>
    <x v="28"/>
    <n v="0"/>
    <n v="12.3"/>
    <n v="1.1000000000000001"/>
    <n v="2.9"/>
    <n v="0.37931034482758624"/>
    <n v="0.5"/>
    <n v="1.5"/>
    <n v="0.33333333333333331"/>
    <n v="0.6"/>
    <n v="1.4"/>
    <n v="14"/>
    <n v="0.4285714285714286"/>
    <n v="1"/>
    <n v="1"/>
    <n v="1"/>
    <n v="0.6"/>
    <n v="1.4"/>
    <n v="2"/>
    <n v="1.8"/>
    <n v="0.4"/>
    <n v="0.1"/>
    <n v="0.6"/>
    <n v="1.3"/>
    <n v="3.8"/>
  </r>
  <r>
    <n v="3640"/>
    <x v="361"/>
    <x v="15"/>
    <x v="8"/>
    <x v="4"/>
    <x v="17"/>
    <n v="3"/>
    <n v="9.1"/>
    <n v="1.3"/>
    <n v="3.1"/>
    <n v="0.41935483870967744"/>
    <n v="1"/>
    <n v="2.7"/>
    <n v="0.37037037037037035"/>
    <n v="0.2"/>
    <n v="0.4"/>
    <n v="4"/>
    <n v="0.5"/>
    <n v="0.1"/>
    <n v="0.2"/>
    <n v="0.5"/>
    <n v="0.1"/>
    <n v="0.6"/>
    <n v="0.7"/>
    <n v="0.1"/>
    <n v="0.2"/>
    <n v="0"/>
    <n v="0.1"/>
    <n v="0.9"/>
    <n v="3.7"/>
  </r>
  <r>
    <n v="3620"/>
    <x v="362"/>
    <x v="17"/>
    <x v="14"/>
    <x v="1"/>
    <x v="22"/>
    <n v="0"/>
    <n v="8.5"/>
    <n v="1.5"/>
    <n v="3.4"/>
    <n v="0.44117647058823528"/>
    <n v="0.6"/>
    <n v="1.4"/>
    <n v="0.4285714285714286"/>
    <n v="0.9"/>
    <n v="2"/>
    <n v="20"/>
    <n v="0.45"/>
    <n v="0"/>
    <n v="0"/>
    <n v="0"/>
    <n v="0.1"/>
    <n v="0.7"/>
    <n v="0.7"/>
    <n v="1.7"/>
    <n v="0.1"/>
    <n v="0"/>
    <n v="1.1000000000000001"/>
    <n v="0.3"/>
    <n v="3.7"/>
  </r>
  <r>
    <n v="3630"/>
    <x v="363"/>
    <x v="11"/>
    <x v="27"/>
    <x v="1"/>
    <x v="17"/>
    <n v="0"/>
    <n v="9.9"/>
    <n v="1.3"/>
    <n v="2.9"/>
    <n v="0.44827586206896552"/>
    <n v="0.7"/>
    <n v="1.9"/>
    <n v="0.36842105263157893"/>
    <n v="0.5"/>
    <n v="1"/>
    <n v="10"/>
    <n v="0.5"/>
    <n v="0.5"/>
    <n v="0.6"/>
    <n v="0.83333333333333337"/>
    <n v="0.1"/>
    <n v="0.9"/>
    <n v="1"/>
    <n v="1.1000000000000001"/>
    <n v="0.3"/>
    <n v="0.1"/>
    <n v="0.3"/>
    <n v="0.8"/>
    <n v="3.7"/>
  </r>
  <r>
    <n v="3680"/>
    <x v="364"/>
    <x v="6"/>
    <x v="28"/>
    <x v="1"/>
    <x v="30"/>
    <n v="0"/>
    <n v="15.3"/>
    <n v="1.2"/>
    <n v="3.4"/>
    <n v="0.35294117647058826"/>
    <n v="0.8"/>
    <n v="2.7"/>
    <n v="0.29629629629629628"/>
    <n v="0.4"/>
    <n v="0.8"/>
    <n v="8"/>
    <n v="0.5"/>
    <n v="0.3"/>
    <n v="0.3"/>
    <n v="1"/>
    <n v="0.1"/>
    <n v="0.8"/>
    <n v="0.9"/>
    <n v="1.4"/>
    <n v="0.7"/>
    <n v="0.2"/>
    <n v="0.9"/>
    <n v="0.9"/>
    <n v="3.6"/>
  </r>
  <r>
    <n v="3660"/>
    <x v="365"/>
    <x v="10"/>
    <x v="8"/>
    <x v="0"/>
    <x v="20"/>
    <n v="0"/>
    <n v="8.1999999999999993"/>
    <n v="1.5"/>
    <n v="2.2999999999999998"/>
    <n v="0.65217391304347827"/>
    <n v="0"/>
    <n v="0.2"/>
    <n v="0"/>
    <n v="1.5"/>
    <n v="2.1"/>
    <n v="21"/>
    <n v="0.7142857142857143"/>
    <n v="0.5"/>
    <n v="1"/>
    <n v="0.5"/>
    <n v="0.5"/>
    <n v="1"/>
    <n v="1.5"/>
    <n v="0.2"/>
    <n v="0.1"/>
    <n v="0.4"/>
    <n v="0.5"/>
    <n v="1"/>
    <n v="3.6"/>
  </r>
  <r>
    <n v="3650"/>
    <x v="366"/>
    <x v="3"/>
    <x v="0"/>
    <x v="3"/>
    <x v="14"/>
    <n v="23"/>
    <n v="18.100000000000001"/>
    <n v="1.4"/>
    <n v="3.5"/>
    <n v="0.39999999999999997"/>
    <n v="0.6"/>
    <n v="1.6"/>
    <n v="0.37499999999999994"/>
    <n v="0.8"/>
    <n v="1.8"/>
    <n v="18"/>
    <n v="0.44444444444444448"/>
    <n v="0.2"/>
    <n v="0.4"/>
    <n v="0.5"/>
    <n v="0.9"/>
    <n v="2.2000000000000002"/>
    <n v="3.1"/>
    <n v="1.4"/>
    <n v="0.6"/>
    <n v="0.2"/>
    <n v="1.2"/>
    <n v="2.4"/>
    <n v="3.6"/>
  </r>
  <r>
    <n v="3690"/>
    <x v="367"/>
    <x v="5"/>
    <x v="6"/>
    <x v="1"/>
    <x v="28"/>
    <n v="0"/>
    <n v="7.9"/>
    <n v="1.3"/>
    <n v="3"/>
    <n v="0.43333333333333335"/>
    <n v="0.3"/>
    <n v="1"/>
    <n v="0.3"/>
    <n v="1"/>
    <n v="2"/>
    <n v="20"/>
    <n v="0.5"/>
    <n v="0.9"/>
    <n v="1.1000000000000001"/>
    <n v="0.81818181818181812"/>
    <n v="0.3"/>
    <n v="0.8"/>
    <n v="1"/>
    <n v="0.8"/>
    <n v="0.1"/>
    <n v="0"/>
    <n v="0.6"/>
    <n v="0.5"/>
    <n v="3.6"/>
  </r>
  <r>
    <n v="3670"/>
    <x v="368"/>
    <x v="10"/>
    <x v="21"/>
    <x v="1"/>
    <x v="18"/>
    <n v="3"/>
    <n v="14.7"/>
    <n v="1.3"/>
    <n v="3.6"/>
    <n v="0.3611111111111111"/>
    <n v="0.6"/>
    <n v="2.2000000000000002"/>
    <n v="0.27272727272727271"/>
    <n v="0.7"/>
    <n v="1.4"/>
    <n v="14"/>
    <n v="0.5"/>
    <n v="0.5"/>
    <n v="0.7"/>
    <n v="0.7142857142857143"/>
    <n v="0.5"/>
    <n v="1.6"/>
    <n v="2.1"/>
    <n v="2.1"/>
    <n v="0.6"/>
    <n v="0.4"/>
    <n v="0.8"/>
    <n v="1.8"/>
    <n v="3.6"/>
  </r>
  <r>
    <n v="3730"/>
    <x v="369"/>
    <x v="17"/>
    <x v="28"/>
    <x v="3"/>
    <x v="11"/>
    <n v="8"/>
    <n v="19.2"/>
    <n v="1.3"/>
    <n v="4.0999999999999996"/>
    <n v="0.31707317073170738"/>
    <n v="0.5"/>
    <n v="2.2000000000000002"/>
    <n v="0.22727272727272727"/>
    <n v="0.7"/>
    <n v="1.8"/>
    <n v="18"/>
    <n v="0.38888888888888884"/>
    <n v="0.5"/>
    <n v="0.7"/>
    <n v="0.7142857142857143"/>
    <n v="0.5"/>
    <n v="1.8"/>
    <n v="2.2999999999999998"/>
    <n v="1.2"/>
    <n v="0.4"/>
    <n v="0.3"/>
    <n v="0.8"/>
    <n v="1.6"/>
    <n v="3.5"/>
  </r>
  <r>
    <n v="3720"/>
    <x v="370"/>
    <x v="4"/>
    <x v="29"/>
    <x v="4"/>
    <x v="19"/>
    <n v="1"/>
    <n v="10.3"/>
    <n v="1.4"/>
    <n v="3.2"/>
    <n v="0.43749999999999994"/>
    <n v="0.2"/>
    <n v="0.9"/>
    <n v="0.22222222222222224"/>
    <n v="1.3"/>
    <n v="2.2999999999999998"/>
    <n v="23"/>
    <n v="0.56521739130434789"/>
    <n v="0.5"/>
    <n v="0.8"/>
    <n v="0.625"/>
    <n v="0.9"/>
    <n v="2.1"/>
    <n v="3"/>
    <n v="0.5"/>
    <n v="0.3"/>
    <n v="0.1"/>
    <n v="0.5"/>
    <n v="1.1000000000000001"/>
    <n v="3.5"/>
  </r>
  <r>
    <n v="3710"/>
    <x v="371"/>
    <x v="5"/>
    <x v="10"/>
    <x v="4"/>
    <x v="9"/>
    <n v="8"/>
    <n v="19.3"/>
    <n v="1.3"/>
    <n v="2.9"/>
    <n v="0.44827586206896552"/>
    <n v="0.4"/>
    <n v="1.5"/>
    <n v="0.26666666666666666"/>
    <n v="0.9"/>
    <n v="1.4"/>
    <n v="14"/>
    <n v="0.6428571428571429"/>
    <n v="0.5"/>
    <n v="0.8"/>
    <n v="0.625"/>
    <n v="0.5"/>
    <n v="1.6"/>
    <n v="2.1"/>
    <n v="0.8"/>
    <n v="1.1000000000000001"/>
    <n v="0.4"/>
    <n v="0.4"/>
    <n v="1.5"/>
    <n v="3.5"/>
  </r>
  <r>
    <n v="3700"/>
    <x v="372"/>
    <x v="2"/>
    <x v="24"/>
    <x v="1"/>
    <x v="26"/>
    <n v="0"/>
    <n v="6.7"/>
    <n v="1.3"/>
    <n v="2.8"/>
    <n v="0.46428571428571436"/>
    <n v="0.8"/>
    <n v="1.9"/>
    <n v="0.4210526315789474"/>
    <n v="0.4"/>
    <n v="0.9"/>
    <n v="9"/>
    <n v="0.44444444444444448"/>
    <n v="0.2"/>
    <n v="0.3"/>
    <n v="0.66666666666666674"/>
    <n v="0.1"/>
    <n v="0.8"/>
    <n v="0.9"/>
    <n v="0.9"/>
    <n v="0.3"/>
    <n v="0"/>
    <n v="0.4"/>
    <n v="0.3"/>
    <n v="3.5"/>
  </r>
  <r>
    <n v="3760"/>
    <x v="373"/>
    <x v="1"/>
    <x v="18"/>
    <x v="2"/>
    <x v="23"/>
    <n v="2"/>
    <n v="8.6"/>
    <n v="1.5"/>
    <n v="2.9"/>
    <n v="0.51724137931034486"/>
    <n v="0"/>
    <n v="0"/>
    <n v="0"/>
    <n v="1.5"/>
    <n v="2.9"/>
    <n v="29"/>
    <n v="0.51724137931034486"/>
    <n v="0.4"/>
    <n v="0.5"/>
    <n v="0.8"/>
    <n v="1.2"/>
    <n v="1.8"/>
    <n v="3"/>
    <n v="1.1000000000000001"/>
    <n v="0.2"/>
    <n v="0.5"/>
    <n v="0.8"/>
    <n v="1.6"/>
    <n v="3.4"/>
  </r>
  <r>
    <n v="3770"/>
    <x v="374"/>
    <x v="5"/>
    <x v="9"/>
    <x v="1"/>
    <x v="26"/>
    <n v="0"/>
    <n v="16.7"/>
    <n v="1.2"/>
    <n v="2.9"/>
    <n v="0.41379310344827586"/>
    <n v="0.2"/>
    <n v="0.9"/>
    <n v="0.22222222222222224"/>
    <n v="1"/>
    <n v="1.9"/>
    <n v="19"/>
    <n v="0.52631578947368418"/>
    <n v="0.8"/>
    <n v="1.1000000000000001"/>
    <n v="0.72727272727272729"/>
    <n v="0.6"/>
    <n v="1.7"/>
    <n v="2.2999999999999998"/>
    <n v="3.8"/>
    <n v="0.6"/>
    <n v="0.3"/>
    <n v="0.8"/>
    <n v="1.3"/>
    <n v="3.4"/>
  </r>
  <r>
    <n v="3780"/>
    <x v="375"/>
    <x v="4"/>
    <x v="14"/>
    <x v="4"/>
    <x v="18"/>
    <n v="0"/>
    <n v="7.7"/>
    <n v="1.4"/>
    <n v="2.4"/>
    <n v="0.58333333333333337"/>
    <n v="0.3"/>
    <n v="1.1000000000000001"/>
    <n v="0.27272727272727271"/>
    <n v="1.1000000000000001"/>
    <n v="1.4"/>
    <n v="14"/>
    <n v="0.78571428571428581"/>
    <n v="0.4"/>
    <n v="0.5"/>
    <n v="0.8"/>
    <n v="0.3"/>
    <n v="1.1000000000000001"/>
    <n v="1.4"/>
    <n v="0.6"/>
    <n v="0.5"/>
    <n v="0.4"/>
    <n v="0.3"/>
    <n v="0.9"/>
    <n v="3.4"/>
  </r>
  <r>
    <n v="3740"/>
    <x v="376"/>
    <x v="6"/>
    <x v="16"/>
    <x v="0"/>
    <x v="1"/>
    <n v="1"/>
    <n v="18.3"/>
    <n v="1.1000000000000001"/>
    <n v="2.9"/>
    <n v="0.37931034482758624"/>
    <n v="0.9"/>
    <n v="2.4"/>
    <n v="0.375"/>
    <n v="0.2"/>
    <n v="0.5"/>
    <n v="5"/>
    <n v="0.4"/>
    <n v="0.3"/>
    <n v="0.4"/>
    <n v="0.74999999999999989"/>
    <n v="0.7"/>
    <n v="2.1"/>
    <n v="2.8"/>
    <n v="1.6"/>
    <n v="0.6"/>
    <n v="0.4"/>
    <n v="0.6"/>
    <n v="1.4"/>
    <n v="3.4"/>
  </r>
  <r>
    <n v="3790"/>
    <x v="377"/>
    <x v="0"/>
    <x v="2"/>
    <x v="2"/>
    <x v="21"/>
    <n v="3"/>
    <n v="13.6"/>
    <n v="1.2"/>
    <n v="4"/>
    <n v="0.3"/>
    <n v="0.5"/>
    <n v="1.9"/>
    <n v="0.26315789473684209"/>
    <n v="0.7"/>
    <n v="2.1"/>
    <n v="21"/>
    <n v="0.33333333333333331"/>
    <n v="0.5"/>
    <n v="0.6"/>
    <n v="0.83333333333333337"/>
    <n v="0.9"/>
    <n v="2.6"/>
    <n v="3.5"/>
    <n v="1.1000000000000001"/>
    <n v="0.6"/>
    <n v="0"/>
    <n v="1.1000000000000001"/>
    <n v="1.4"/>
    <n v="3.4"/>
  </r>
  <r>
    <n v="3750"/>
    <x v="378"/>
    <x v="3"/>
    <x v="3"/>
    <x v="2"/>
    <x v="2"/>
    <n v="4"/>
    <n v="17.899999999999999"/>
    <n v="1.5"/>
    <n v="2.5"/>
    <n v="0.6"/>
    <n v="0"/>
    <n v="0"/>
    <n v="0"/>
    <n v="1.5"/>
    <n v="2.5"/>
    <n v="25"/>
    <n v="0.6"/>
    <n v="0.4"/>
    <n v="0.8"/>
    <n v="0.5"/>
    <n v="3.1"/>
    <n v="3.8"/>
    <n v="6.8"/>
    <n v="0.6"/>
    <n v="0.6"/>
    <n v="0.7"/>
    <n v="0.9"/>
    <n v="1.7"/>
    <n v="3.4"/>
  </r>
  <r>
    <n v="3810"/>
    <x v="379"/>
    <x v="12"/>
    <x v="8"/>
    <x v="4"/>
    <x v="15"/>
    <n v="2"/>
    <n v="14.8"/>
    <n v="1"/>
    <n v="2.8"/>
    <n v="0.35714285714285715"/>
    <n v="0.5"/>
    <n v="2"/>
    <n v="0.25"/>
    <n v="0.5"/>
    <n v="0.8"/>
    <n v="8"/>
    <n v="0.625"/>
    <n v="0.8"/>
    <n v="1"/>
    <n v="0.8"/>
    <n v="1"/>
    <n v="1.8"/>
    <n v="2.8"/>
    <n v="0.7"/>
    <n v="0.5"/>
    <n v="0"/>
    <n v="0.7"/>
    <n v="1.7"/>
    <n v="3.3"/>
  </r>
  <r>
    <n v="3800"/>
    <x v="380"/>
    <x v="5"/>
    <x v="7"/>
    <x v="0"/>
    <x v="32"/>
    <n v="0"/>
    <n v="5.3"/>
    <n v="1.3"/>
    <n v="2.1"/>
    <n v="0.61904761904761907"/>
    <n v="0.1"/>
    <n v="0.7"/>
    <n v="0.14285714285714288"/>
    <n v="1.1000000000000001"/>
    <n v="1.4"/>
    <n v="14"/>
    <n v="0.78571428571428581"/>
    <n v="0.6"/>
    <n v="0.9"/>
    <n v="0.66666666666666663"/>
    <n v="0.6"/>
    <n v="1"/>
    <n v="1.6"/>
    <n v="0.1"/>
    <n v="0"/>
    <n v="0"/>
    <n v="0.4"/>
    <n v="0.1"/>
    <n v="3.3"/>
  </r>
  <r>
    <n v="3840"/>
    <x v="381"/>
    <x v="2"/>
    <x v="27"/>
    <x v="4"/>
    <x v="23"/>
    <n v="0"/>
    <n v="9.1999999999999993"/>
    <n v="1.2"/>
    <n v="2.5"/>
    <n v="0.48"/>
    <n v="0.1"/>
    <n v="0.5"/>
    <n v="0.2"/>
    <n v="1.1000000000000001"/>
    <n v="2"/>
    <n v="20"/>
    <n v="0.55000000000000004"/>
    <n v="0.7"/>
    <n v="1"/>
    <n v="0.7"/>
    <n v="0.6"/>
    <n v="1.7"/>
    <n v="2.4"/>
    <n v="0.7"/>
    <n v="0.6"/>
    <n v="0.1"/>
    <n v="0.5"/>
    <n v="1.6"/>
    <n v="3.3"/>
  </r>
  <r>
    <n v="3830"/>
    <x v="382"/>
    <x v="17"/>
    <x v="27"/>
    <x v="1"/>
    <x v="2"/>
    <n v="0"/>
    <n v="11.6"/>
    <n v="1.3"/>
    <n v="3.9"/>
    <n v="0.33333333333333337"/>
    <n v="0.6"/>
    <n v="2.2999999999999998"/>
    <n v="0.2608695652173913"/>
    <n v="0.6"/>
    <n v="1.7"/>
    <n v="17"/>
    <n v="0.35294117647058826"/>
    <n v="0.2"/>
    <n v="0.2"/>
    <n v="1"/>
    <n v="0.3"/>
    <n v="0.9"/>
    <n v="1.3"/>
    <n v="1.2"/>
    <n v="0.5"/>
    <n v="0.3"/>
    <n v="0.6"/>
    <n v="0.9"/>
    <n v="3.3"/>
  </r>
  <r>
    <n v="3820"/>
    <x v="383"/>
    <x v="5"/>
    <x v="2"/>
    <x v="3"/>
    <x v="28"/>
    <n v="0"/>
    <n v="9.9"/>
    <n v="1.3"/>
    <n v="2.6"/>
    <n v="0.5"/>
    <n v="0.8"/>
    <n v="1.8"/>
    <n v="0.44444444444444448"/>
    <n v="0.5"/>
    <n v="0.9"/>
    <n v="9"/>
    <n v="0.55555555555555558"/>
    <n v="0"/>
    <n v="0"/>
    <n v="0"/>
    <n v="0.1"/>
    <n v="1"/>
    <n v="1.1000000000000001"/>
    <n v="2.6"/>
    <n v="0.1"/>
    <n v="0.1"/>
    <n v="0.6"/>
    <n v="0.9"/>
    <n v="3.3"/>
  </r>
  <r>
    <n v="3870"/>
    <x v="384"/>
    <x v="17"/>
    <x v="29"/>
    <x v="3"/>
    <x v="8"/>
    <n v="0"/>
    <n v="9.9"/>
    <n v="1.2"/>
    <n v="2.7"/>
    <n v="0.44444444444444442"/>
    <n v="0.4"/>
    <n v="1.2"/>
    <n v="0.33333333333333337"/>
    <n v="0.8"/>
    <n v="1.5"/>
    <n v="15"/>
    <n v="0.53333333333333333"/>
    <n v="0.5"/>
    <n v="0.6"/>
    <n v="0.83333333333333337"/>
    <n v="0.7"/>
    <n v="0.7"/>
    <n v="1.4"/>
    <n v="0.5"/>
    <n v="0.3"/>
    <n v="0.1"/>
    <n v="0.5"/>
    <n v="0.7"/>
    <n v="3.2"/>
  </r>
  <r>
    <n v="3880"/>
    <x v="385"/>
    <x v="7"/>
    <x v="12"/>
    <x v="3"/>
    <x v="15"/>
    <n v="0"/>
    <n v="9"/>
    <n v="1.3"/>
    <n v="2.2000000000000002"/>
    <n v="0.59090909090909083"/>
    <n v="0.5"/>
    <n v="0.8"/>
    <n v="0.625"/>
    <n v="0.8"/>
    <n v="1.3"/>
    <n v="13"/>
    <n v="0.61538461538461542"/>
    <n v="0"/>
    <n v="0"/>
    <n v="0"/>
    <n v="0"/>
    <n v="0.5"/>
    <n v="0.5"/>
    <n v="0.7"/>
    <n v="0.8"/>
    <n v="0"/>
    <n v="0.2"/>
    <n v="0.3"/>
    <n v="3.2"/>
  </r>
  <r>
    <n v="3850"/>
    <x v="386"/>
    <x v="5"/>
    <x v="26"/>
    <x v="2"/>
    <x v="30"/>
    <n v="0"/>
    <n v="5.0999999999999996"/>
    <n v="1.4"/>
    <n v="2.2000000000000002"/>
    <n v="0.63636363636363624"/>
    <n v="0"/>
    <n v="0"/>
    <n v="0"/>
    <n v="1.4"/>
    <n v="2.2000000000000002"/>
    <n v="22"/>
    <n v="0.63636363636363624"/>
    <n v="0.3"/>
    <n v="0.6"/>
    <n v="0.5"/>
    <n v="0.4"/>
    <n v="1"/>
    <n v="1.4"/>
    <n v="0"/>
    <n v="0.2"/>
    <n v="0.1"/>
    <n v="0.7"/>
    <n v="0.7"/>
    <n v="3.2"/>
  </r>
  <r>
    <n v="3860"/>
    <x v="387"/>
    <x v="5"/>
    <x v="5"/>
    <x v="0"/>
    <x v="25"/>
    <n v="0"/>
    <n v="9.9"/>
    <n v="1"/>
    <n v="2"/>
    <n v="0.5"/>
    <n v="0.6"/>
    <n v="1.5"/>
    <n v="0.39999999999999997"/>
    <n v="0.4"/>
    <n v="0.5"/>
    <n v="5"/>
    <n v="0.8"/>
    <n v="0.5"/>
    <n v="0.6"/>
    <n v="0.83333333333333337"/>
    <n v="0.5"/>
    <n v="1.6"/>
    <n v="2.1"/>
    <n v="0.7"/>
    <n v="0.2"/>
    <n v="0.2"/>
    <n v="0.5"/>
    <n v="0.9"/>
    <n v="3.2"/>
  </r>
  <r>
    <n v="3890"/>
    <x v="388"/>
    <x v="17"/>
    <x v="28"/>
    <x v="1"/>
    <x v="19"/>
    <n v="2"/>
    <n v="17.3"/>
    <n v="1.3"/>
    <n v="4"/>
    <n v="0.32500000000000001"/>
    <n v="0.3"/>
    <n v="1.6"/>
    <n v="0.18749999999999997"/>
    <n v="1"/>
    <n v="2.4"/>
    <n v="24"/>
    <n v="0.41666666666666669"/>
    <n v="0.4"/>
    <n v="0.8"/>
    <n v="0.5"/>
    <n v="0.2"/>
    <n v="2"/>
    <n v="2.2000000000000002"/>
    <n v="3.4"/>
    <n v="0.8"/>
    <n v="0.2"/>
    <n v="2.2999999999999998"/>
    <n v="1.8"/>
    <n v="3.1"/>
  </r>
  <r>
    <n v="3900"/>
    <x v="389"/>
    <x v="7"/>
    <x v="11"/>
    <x v="1"/>
    <x v="25"/>
    <n v="0"/>
    <n v="10.199999999999999"/>
    <n v="1.2"/>
    <n v="2.7"/>
    <n v="0.44444444444444442"/>
    <n v="0.2"/>
    <n v="0.8"/>
    <n v="0.25"/>
    <n v="1"/>
    <n v="1.9"/>
    <n v="19"/>
    <n v="0.52631578947368418"/>
    <n v="0.5"/>
    <n v="0.8"/>
    <n v="0.625"/>
    <n v="0.2"/>
    <n v="0.8"/>
    <n v="1"/>
    <n v="1.1000000000000001"/>
    <n v="0.3"/>
    <n v="0.1"/>
    <n v="0.2"/>
    <n v="0.6"/>
    <n v="3.1"/>
  </r>
  <r>
    <n v="3910"/>
    <x v="390"/>
    <x v="2"/>
    <x v="27"/>
    <x v="2"/>
    <x v="11"/>
    <n v="0"/>
    <n v="9.5"/>
    <n v="1.2"/>
    <n v="2.8"/>
    <n v="0.4285714285714286"/>
    <n v="0.2"/>
    <n v="0.4"/>
    <n v="0.5"/>
    <n v="1"/>
    <n v="2.4"/>
    <n v="24"/>
    <n v="0.41666666666666669"/>
    <n v="0.6"/>
    <n v="1.1000000000000001"/>
    <n v="0.54545454545454541"/>
    <n v="1.2"/>
    <n v="1.5"/>
    <n v="2.6"/>
    <n v="0.7"/>
    <n v="0.2"/>
    <n v="0.4"/>
    <n v="0.5"/>
    <n v="0.8"/>
    <n v="3.1"/>
  </r>
  <r>
    <n v="3920"/>
    <x v="391"/>
    <x v="17"/>
    <x v="3"/>
    <x v="3"/>
    <x v="22"/>
    <n v="0"/>
    <n v="8.8000000000000007"/>
    <n v="1.2"/>
    <n v="3.4"/>
    <n v="0.35294117647058826"/>
    <n v="0.7"/>
    <n v="1.9"/>
    <n v="0.36842105263157893"/>
    <n v="0.5"/>
    <n v="1.5"/>
    <n v="15"/>
    <n v="0.33333333333333331"/>
    <n v="0.1"/>
    <n v="0.1"/>
    <n v="1"/>
    <n v="0.1"/>
    <n v="0.8"/>
    <n v="0.9"/>
    <n v="0.7"/>
    <n v="0.3"/>
    <n v="0.1"/>
    <n v="0.2"/>
    <n v="0.5"/>
    <n v="3.1"/>
  </r>
  <r>
    <n v="3960"/>
    <x v="392"/>
    <x v="9"/>
    <x v="25"/>
    <x v="0"/>
    <x v="33"/>
    <n v="0"/>
    <n v="6"/>
    <n v="1.3"/>
    <n v="2.8"/>
    <n v="0.46428571428571436"/>
    <n v="0"/>
    <n v="0.3"/>
    <n v="0"/>
    <n v="1.3"/>
    <n v="2.5"/>
    <n v="25"/>
    <n v="0.52"/>
    <n v="0.5"/>
    <n v="0.5"/>
    <n v="1"/>
    <n v="0.8"/>
    <n v="1"/>
    <n v="1.8"/>
    <n v="0"/>
    <n v="0"/>
    <n v="0.5"/>
    <n v="0.5"/>
    <n v="0.3"/>
    <n v="3"/>
  </r>
  <r>
    <n v="4020"/>
    <x v="393"/>
    <x v="5"/>
    <x v="28"/>
    <x v="0"/>
    <x v="27"/>
    <n v="0"/>
    <n v="16"/>
    <n v="0"/>
    <n v="0"/>
    <n v="0"/>
    <n v="0"/>
    <n v="0"/>
    <n v="0"/>
    <n v="0"/>
    <n v="0"/>
    <n v="0"/>
    <n v="0"/>
    <n v="3"/>
    <n v="4"/>
    <n v="0.75"/>
    <n v="3"/>
    <n v="6"/>
    <n v="9"/>
    <n v="0"/>
    <n v="2"/>
    <n v="0"/>
    <n v="1"/>
    <n v="3"/>
    <n v="3"/>
  </r>
  <r>
    <n v="3980"/>
    <x v="394"/>
    <x v="10"/>
    <x v="18"/>
    <x v="3"/>
    <x v="31"/>
    <n v="0"/>
    <n v="4.7"/>
    <n v="1"/>
    <n v="2.2999999999999998"/>
    <n v="0.43478260869565222"/>
    <n v="0.7"/>
    <n v="1.7"/>
    <n v="0.41176470588235292"/>
    <n v="0.3"/>
    <n v="0.7"/>
    <n v="7"/>
    <n v="0.4285714285714286"/>
    <n v="0.3"/>
    <n v="0.7"/>
    <n v="0.4285714285714286"/>
    <n v="0.3"/>
    <n v="0.7"/>
    <n v="1"/>
    <n v="0"/>
    <n v="0"/>
    <n v="0"/>
    <n v="0"/>
    <n v="0"/>
    <n v="3"/>
  </r>
  <r>
    <n v="3930"/>
    <x v="395"/>
    <x v="5"/>
    <x v="9"/>
    <x v="3"/>
    <x v="27"/>
    <n v="0"/>
    <n v="8"/>
    <n v="1"/>
    <n v="4"/>
    <n v="0.25"/>
    <n v="0"/>
    <n v="1"/>
    <n v="0"/>
    <n v="1"/>
    <n v="3"/>
    <n v="30"/>
    <n v="0.33333333333333331"/>
    <n v="1"/>
    <n v="2"/>
    <n v="0.5"/>
    <n v="0"/>
    <n v="0"/>
    <n v="0"/>
    <n v="2"/>
    <n v="0"/>
    <n v="0"/>
    <n v="0"/>
    <n v="1"/>
    <n v="3"/>
  </r>
  <r>
    <n v="3990"/>
    <x v="396"/>
    <x v="1"/>
    <x v="29"/>
    <x v="3"/>
    <x v="34"/>
    <n v="0"/>
    <n v="10"/>
    <n v="1"/>
    <n v="5"/>
    <n v="0.2"/>
    <n v="0.5"/>
    <n v="2"/>
    <n v="0.25"/>
    <n v="0.5"/>
    <n v="3"/>
    <n v="30"/>
    <n v="0.16666666666666666"/>
    <n v="0.5"/>
    <n v="1"/>
    <n v="0.5"/>
    <n v="2"/>
    <n v="2"/>
    <n v="4"/>
    <n v="0.5"/>
    <n v="1"/>
    <n v="0"/>
    <n v="1"/>
    <n v="0"/>
    <n v="3"/>
  </r>
  <r>
    <n v="3940"/>
    <x v="397"/>
    <x v="5"/>
    <x v="7"/>
    <x v="1"/>
    <x v="27"/>
    <n v="0"/>
    <n v="3"/>
    <n v="1"/>
    <n v="2"/>
    <n v="0.5"/>
    <n v="1"/>
    <n v="1"/>
    <n v="1"/>
    <n v="0"/>
    <n v="1"/>
    <n v="10"/>
    <n v="0"/>
    <n v="0"/>
    <n v="0"/>
    <n v="0"/>
    <n v="0"/>
    <n v="0"/>
    <n v="0"/>
    <n v="0"/>
    <n v="0"/>
    <n v="0"/>
    <n v="0"/>
    <n v="0"/>
    <n v="3"/>
  </r>
  <r>
    <n v="4000"/>
    <x v="398"/>
    <x v="10"/>
    <x v="11"/>
    <x v="0"/>
    <x v="27"/>
    <n v="0"/>
    <n v="3"/>
    <n v="1"/>
    <n v="1"/>
    <n v="1"/>
    <n v="1"/>
    <n v="1"/>
    <n v="1"/>
    <n v="0"/>
    <n v="0"/>
    <n v="0"/>
    <n v="0"/>
    <n v="0"/>
    <n v="0"/>
    <n v="0"/>
    <n v="0"/>
    <n v="1"/>
    <n v="1"/>
    <n v="0"/>
    <n v="0"/>
    <n v="0"/>
    <n v="0"/>
    <n v="3"/>
    <n v="3"/>
  </r>
  <r>
    <n v="4010"/>
    <x v="399"/>
    <x v="3"/>
    <x v="10"/>
    <x v="1"/>
    <x v="27"/>
    <n v="0"/>
    <n v="8"/>
    <n v="1"/>
    <n v="3"/>
    <n v="0.33333333333333331"/>
    <n v="1"/>
    <n v="3"/>
    <n v="0.33333333333333331"/>
    <n v="0"/>
    <n v="0"/>
    <n v="0"/>
    <n v="0"/>
    <n v="0"/>
    <n v="0"/>
    <n v="0"/>
    <n v="0"/>
    <n v="0"/>
    <n v="0"/>
    <n v="0"/>
    <n v="0"/>
    <n v="0"/>
    <n v="1"/>
    <n v="0"/>
    <n v="3"/>
  </r>
  <r>
    <n v="3950"/>
    <x v="400"/>
    <x v="20"/>
    <x v="27"/>
    <x v="0"/>
    <x v="21"/>
    <n v="1"/>
    <n v="8.4"/>
    <n v="1.1000000000000001"/>
    <n v="2.1"/>
    <n v="0.52380952380952384"/>
    <n v="0.5"/>
    <n v="1.3"/>
    <n v="0.38461538461538458"/>
    <n v="0.6"/>
    <n v="0.8"/>
    <n v="8"/>
    <n v="0.74999999999999989"/>
    <n v="0.3"/>
    <n v="0.4"/>
    <n v="0.74999999999999989"/>
    <n v="0.1"/>
    <n v="1.1000000000000001"/>
    <n v="1.2"/>
    <n v="0.1"/>
    <n v="0.3"/>
    <n v="0"/>
    <n v="0.3"/>
    <n v="0.7"/>
    <n v="3"/>
  </r>
  <r>
    <n v="3970"/>
    <x v="401"/>
    <x v="6"/>
    <x v="2"/>
    <x v="2"/>
    <x v="20"/>
    <n v="0"/>
    <n v="10.4"/>
    <n v="1.4"/>
    <n v="2.2000000000000002"/>
    <n v="0.63636363636363624"/>
    <n v="0"/>
    <n v="0"/>
    <n v="0"/>
    <n v="1.4"/>
    <n v="2.2000000000000002"/>
    <n v="22"/>
    <n v="0.63636363636363624"/>
    <n v="0.2"/>
    <n v="0.6"/>
    <n v="0.33333333333333337"/>
    <n v="0.9"/>
    <n v="3"/>
    <n v="3.9"/>
    <n v="0.9"/>
    <n v="0.3"/>
    <n v="0.5"/>
    <n v="0.7"/>
    <n v="1.1000000000000001"/>
    <n v="3"/>
  </r>
  <r>
    <n v="4030"/>
    <x v="402"/>
    <x v="4"/>
    <x v="25"/>
    <x v="3"/>
    <x v="17"/>
    <n v="0"/>
    <n v="8.3000000000000007"/>
    <n v="1.2"/>
    <n v="2.7"/>
    <n v="0.44444444444444442"/>
    <n v="0.3"/>
    <n v="0.9"/>
    <n v="0.33333333333333331"/>
    <n v="0.9"/>
    <n v="1.7"/>
    <n v="17"/>
    <n v="0.52941176470588236"/>
    <n v="0.3"/>
    <n v="0.5"/>
    <n v="0.6"/>
    <n v="0.3"/>
    <n v="1.1000000000000001"/>
    <n v="1.4"/>
    <n v="0.4"/>
    <n v="0.5"/>
    <n v="0.3"/>
    <n v="0.2"/>
    <n v="0.7"/>
    <n v="2.9"/>
  </r>
  <r>
    <n v="4040"/>
    <x v="403"/>
    <x v="8"/>
    <x v="1"/>
    <x v="0"/>
    <x v="18"/>
    <n v="0"/>
    <n v="10.199999999999999"/>
    <n v="1.1000000000000001"/>
    <n v="3.3"/>
    <n v="0.33333333333333337"/>
    <n v="0.5"/>
    <n v="1.9"/>
    <n v="0.26315789473684209"/>
    <n v="0.6"/>
    <n v="1.4"/>
    <n v="14"/>
    <n v="0.4285714285714286"/>
    <n v="0.4"/>
    <n v="0.6"/>
    <n v="0.66666666666666674"/>
    <n v="0.5"/>
    <n v="1.9"/>
    <n v="2.4"/>
    <n v="0.7"/>
    <n v="0.7"/>
    <n v="0.2"/>
    <n v="0.3"/>
    <n v="1"/>
    <n v="2.9"/>
  </r>
  <r>
    <n v="4050"/>
    <x v="404"/>
    <x v="11"/>
    <x v="22"/>
    <x v="3"/>
    <x v="18"/>
    <n v="2"/>
    <n v="14.4"/>
    <n v="1.1000000000000001"/>
    <n v="2.6"/>
    <n v="0.42307692307692307"/>
    <n v="0.6"/>
    <n v="1.9"/>
    <n v="0.31578947368421051"/>
    <n v="0.5"/>
    <n v="0.7"/>
    <n v="7"/>
    <n v="0.7142857142857143"/>
    <n v="0.2"/>
    <n v="0.3"/>
    <n v="0.66666666666666674"/>
    <n v="1.1000000000000001"/>
    <n v="2.9"/>
    <n v="4"/>
    <n v="1.2"/>
    <n v="0.7"/>
    <n v="0.5"/>
    <n v="0.5"/>
    <n v="1.1000000000000001"/>
    <n v="2.9"/>
  </r>
  <r>
    <n v="4090"/>
    <x v="405"/>
    <x v="13"/>
    <x v="0"/>
    <x v="1"/>
    <x v="3"/>
    <n v="2"/>
    <n v="16.600000000000001"/>
    <n v="1"/>
    <n v="3.2"/>
    <n v="0.3125"/>
    <n v="0.5"/>
    <n v="1.9"/>
    <n v="0.26315789473684209"/>
    <n v="0.5"/>
    <n v="1.3"/>
    <n v="13"/>
    <n v="0.38461538461538458"/>
    <n v="0.4"/>
    <n v="0.6"/>
    <n v="0.66666666666666674"/>
    <n v="0.7"/>
    <n v="1.2"/>
    <n v="1.9"/>
    <n v="1.9"/>
    <n v="0.9"/>
    <n v="0.3"/>
    <n v="0.6"/>
    <n v="0.7"/>
    <n v="2.8"/>
  </r>
  <r>
    <n v="4070"/>
    <x v="406"/>
    <x v="5"/>
    <x v="16"/>
    <x v="0"/>
    <x v="30"/>
    <n v="0"/>
    <n v="7.6"/>
    <n v="1.2"/>
    <n v="2.9"/>
    <n v="0.41379310344827586"/>
    <n v="0.2"/>
    <n v="0.8"/>
    <n v="0.25"/>
    <n v="1"/>
    <n v="2.1"/>
    <n v="21"/>
    <n v="0.47619047619047616"/>
    <n v="0.1"/>
    <n v="0.2"/>
    <n v="0.5"/>
    <n v="0.7"/>
    <n v="1.4"/>
    <n v="2.1"/>
    <n v="0.6"/>
    <n v="0.1"/>
    <n v="0"/>
    <n v="0"/>
    <n v="0.9"/>
    <n v="2.8"/>
  </r>
  <r>
    <n v="4080"/>
    <x v="407"/>
    <x v="17"/>
    <x v="26"/>
    <x v="3"/>
    <x v="20"/>
    <n v="0"/>
    <n v="9.9"/>
    <n v="1"/>
    <n v="2.6"/>
    <n v="0.38461538461538458"/>
    <n v="0.5"/>
    <n v="1.5"/>
    <n v="0.33333333333333331"/>
    <n v="0.4"/>
    <n v="1"/>
    <n v="10"/>
    <n v="0.4"/>
    <n v="0.3"/>
    <n v="0.3"/>
    <n v="1"/>
    <n v="0.6"/>
    <n v="0.8"/>
    <n v="1.4"/>
    <n v="0.4"/>
    <n v="0.4"/>
    <n v="0.3"/>
    <n v="0.4"/>
    <n v="1"/>
    <n v="2.8"/>
  </r>
  <r>
    <n v="4060"/>
    <x v="408"/>
    <x v="9"/>
    <x v="27"/>
    <x v="2"/>
    <x v="20"/>
    <n v="0"/>
    <n v="10.1"/>
    <n v="1.1000000000000001"/>
    <n v="1.8"/>
    <n v="0.61111111111111116"/>
    <n v="0"/>
    <n v="0"/>
    <n v="0"/>
    <n v="1.1000000000000001"/>
    <n v="1.8"/>
    <n v="18"/>
    <n v="0.61111111111111116"/>
    <n v="0.6"/>
    <n v="1.4"/>
    <n v="0.4285714285714286"/>
    <n v="1.8"/>
    <n v="2.1"/>
    <n v="4"/>
    <n v="1.1000000000000001"/>
    <n v="0.2"/>
    <n v="0.2"/>
    <n v="1"/>
    <n v="1"/>
    <n v="2.8"/>
  </r>
  <r>
    <n v="4100"/>
    <x v="409"/>
    <x v="3"/>
    <x v="7"/>
    <x v="1"/>
    <x v="31"/>
    <n v="0"/>
    <n v="9"/>
    <n v="1"/>
    <n v="2"/>
    <n v="0.5"/>
    <n v="0.7"/>
    <n v="1"/>
    <n v="0.7"/>
    <n v="0.3"/>
    <n v="1"/>
    <n v="10"/>
    <n v="0.3"/>
    <n v="0"/>
    <n v="0"/>
    <n v="0"/>
    <n v="0"/>
    <n v="0.3"/>
    <n v="0.3"/>
    <n v="1.3"/>
    <n v="0.7"/>
    <n v="0"/>
    <n v="0.3"/>
    <n v="0"/>
    <n v="2.7"/>
  </r>
  <r>
    <n v="4120"/>
    <x v="410"/>
    <x v="11"/>
    <x v="29"/>
    <x v="2"/>
    <x v="22"/>
    <n v="0"/>
    <n v="6.1"/>
    <n v="0.9"/>
    <n v="2.1"/>
    <n v="0.42857142857142855"/>
    <n v="0.6"/>
    <n v="1.6"/>
    <n v="0.37499999999999994"/>
    <n v="0.3"/>
    <n v="0.5"/>
    <n v="5"/>
    <n v="0.6"/>
    <n v="0.3"/>
    <n v="0.4"/>
    <n v="0.74999999999999989"/>
    <n v="0.4"/>
    <n v="0.5"/>
    <n v="0.9"/>
    <n v="0.3"/>
    <n v="0"/>
    <n v="0.1"/>
    <n v="0.1"/>
    <n v="0.7"/>
    <n v="2.6"/>
  </r>
  <r>
    <n v="4130"/>
    <x v="411"/>
    <x v="10"/>
    <x v="2"/>
    <x v="0"/>
    <x v="17"/>
    <n v="0"/>
    <n v="9"/>
    <n v="0.8"/>
    <n v="2"/>
    <n v="0.4"/>
    <n v="0.3"/>
    <n v="1.1000000000000001"/>
    <n v="0.27272727272727271"/>
    <n v="0.5"/>
    <n v="0.8"/>
    <n v="8"/>
    <n v="0.625"/>
    <n v="0.6"/>
    <n v="0.7"/>
    <n v="0.85714285714285721"/>
    <n v="0.4"/>
    <n v="1.3"/>
    <n v="1.7"/>
    <n v="0.5"/>
    <n v="0.2"/>
    <n v="0.2"/>
    <n v="0.4"/>
    <n v="1"/>
    <n v="2.6"/>
  </r>
  <r>
    <n v="4110"/>
    <x v="412"/>
    <x v="19"/>
    <x v="3"/>
    <x v="2"/>
    <x v="29"/>
    <n v="8"/>
    <n v="10.8"/>
    <n v="1.1000000000000001"/>
    <n v="2.4"/>
    <n v="0.45833333333333337"/>
    <n v="0.1"/>
    <n v="0.1"/>
    <n v="1"/>
    <n v="1.1000000000000001"/>
    <n v="2.2999999999999998"/>
    <n v="23"/>
    <n v="0.47826086956521746"/>
    <n v="0.3"/>
    <n v="0.4"/>
    <n v="0.74999999999999989"/>
    <n v="1.5"/>
    <n v="1.7"/>
    <n v="3.2"/>
    <n v="0.5"/>
    <n v="0.4"/>
    <n v="0.2"/>
    <n v="0.6"/>
    <n v="1.3"/>
    <n v="2.6"/>
  </r>
  <r>
    <n v="4150"/>
    <x v="413"/>
    <x v="10"/>
    <x v="19"/>
    <x v="1"/>
    <x v="18"/>
    <n v="0"/>
    <n v="8.6"/>
    <n v="1"/>
    <n v="1.9"/>
    <n v="0.52631578947368418"/>
    <n v="0.3"/>
    <n v="0.6"/>
    <n v="0.5"/>
    <n v="0.8"/>
    <n v="1.3"/>
    <n v="13"/>
    <n v="0.61538461538461542"/>
    <n v="0.3"/>
    <n v="0.4"/>
    <n v="0.74999999999999989"/>
    <n v="0.1"/>
    <n v="0.8"/>
    <n v="0.9"/>
    <n v="1.2"/>
    <n v="0.3"/>
    <n v="0.4"/>
    <n v="0.5"/>
    <n v="0.5"/>
    <n v="2.5"/>
  </r>
  <r>
    <n v="4140"/>
    <x v="414"/>
    <x v="10"/>
    <x v="24"/>
    <x v="0"/>
    <x v="15"/>
    <n v="0"/>
    <n v="5.2"/>
    <n v="0.8"/>
    <n v="1.3"/>
    <n v="0.61538461538461542"/>
    <n v="0.5"/>
    <n v="1"/>
    <n v="0.5"/>
    <n v="0.3"/>
    <n v="0.3"/>
    <n v="3"/>
    <n v="1"/>
    <n v="0.3"/>
    <n v="0.3"/>
    <n v="1"/>
    <n v="0.2"/>
    <n v="0.7"/>
    <n v="0.8"/>
    <n v="0.5"/>
    <n v="0.2"/>
    <n v="0.2"/>
    <n v="0.3"/>
    <n v="1.3"/>
    <n v="2.5"/>
  </r>
  <r>
    <n v="4200"/>
    <x v="415"/>
    <x v="13"/>
    <x v="7"/>
    <x v="3"/>
    <x v="32"/>
    <n v="0"/>
    <n v="6.7"/>
    <n v="0.7"/>
    <n v="3"/>
    <n v="0.23333333333333331"/>
    <n v="0.1"/>
    <n v="1.7"/>
    <n v="5.8823529411764712E-2"/>
    <n v="0.6"/>
    <n v="1.3"/>
    <n v="13"/>
    <n v="0.46153846153846151"/>
    <n v="0.9"/>
    <n v="0.9"/>
    <n v="1"/>
    <n v="0"/>
    <n v="0.7"/>
    <n v="0.7"/>
    <n v="0.7"/>
    <n v="0.3"/>
    <n v="0"/>
    <n v="0.4"/>
    <n v="0.3"/>
    <n v="2.4"/>
  </r>
  <r>
    <n v="4190"/>
    <x v="416"/>
    <x v="3"/>
    <x v="12"/>
    <x v="1"/>
    <x v="18"/>
    <n v="0"/>
    <n v="6.4"/>
    <n v="0.9"/>
    <n v="2.1"/>
    <n v="0.42857142857142855"/>
    <n v="0.5"/>
    <n v="1.3"/>
    <n v="0.38461538461538458"/>
    <n v="0.4"/>
    <n v="0.9"/>
    <n v="9"/>
    <n v="0.44444444444444448"/>
    <n v="0.2"/>
    <n v="0.2"/>
    <n v="1"/>
    <n v="0.1"/>
    <n v="0.6"/>
    <n v="0.7"/>
    <n v="0.8"/>
    <n v="0.3"/>
    <n v="0.1"/>
    <n v="0.4"/>
    <n v="0.6"/>
    <n v="2.4"/>
  </r>
  <r>
    <n v="4170"/>
    <x v="417"/>
    <x v="5"/>
    <x v="20"/>
    <x v="2"/>
    <x v="26"/>
    <n v="0"/>
    <n v="10.4"/>
    <n v="0.9"/>
    <n v="2"/>
    <n v="0.45"/>
    <n v="0"/>
    <n v="0"/>
    <n v="0"/>
    <n v="0.9"/>
    <n v="2"/>
    <n v="20"/>
    <n v="0.45"/>
    <n v="0.5"/>
    <n v="1.3"/>
    <n v="0.38461538461538458"/>
    <n v="1.4"/>
    <n v="1.4"/>
    <n v="2.8"/>
    <n v="0.6"/>
    <n v="0.4"/>
    <n v="0.4"/>
    <n v="0.6"/>
    <n v="1.7"/>
    <n v="2.4"/>
  </r>
  <r>
    <n v="4180"/>
    <x v="418"/>
    <x v="15"/>
    <x v="6"/>
    <x v="0"/>
    <x v="17"/>
    <n v="3"/>
    <n v="19.100000000000001"/>
    <n v="0.9"/>
    <n v="2.4"/>
    <n v="0.375"/>
    <n v="0.3"/>
    <n v="1.1000000000000001"/>
    <n v="0.27272727272727271"/>
    <n v="0.6"/>
    <n v="1.3"/>
    <n v="13"/>
    <n v="0.46153846153846151"/>
    <n v="0.4"/>
    <n v="0.5"/>
    <n v="0.8"/>
    <n v="0.7"/>
    <n v="2.5"/>
    <n v="3.2"/>
    <n v="0.9"/>
    <n v="0.3"/>
    <n v="0.5"/>
    <n v="0.7"/>
    <n v="1.9"/>
    <n v="2.4"/>
  </r>
  <r>
    <n v="4210"/>
    <x v="419"/>
    <x v="4"/>
    <x v="6"/>
    <x v="0"/>
    <x v="19"/>
    <n v="0"/>
    <n v="7.3"/>
    <n v="0.8"/>
    <n v="2.2000000000000002"/>
    <n v="0.36363636363636365"/>
    <n v="0.2"/>
    <n v="0.7"/>
    <n v="0.28571428571428575"/>
    <n v="0.7"/>
    <n v="1.5"/>
    <n v="15"/>
    <n v="0.46666666666666662"/>
    <n v="0.5"/>
    <n v="0.9"/>
    <n v="0.55555555555555558"/>
    <n v="0.8"/>
    <n v="1.1000000000000001"/>
    <n v="1.9"/>
    <n v="0.5"/>
    <n v="0.3"/>
    <n v="0.1"/>
    <n v="0.2"/>
    <n v="0.4"/>
    <n v="2.4"/>
  </r>
  <r>
    <n v="4160"/>
    <x v="420"/>
    <x v="7"/>
    <x v="24"/>
    <x v="3"/>
    <x v="24"/>
    <n v="0"/>
    <n v="4.2"/>
    <n v="0.8"/>
    <n v="1.5"/>
    <n v="0.53333333333333333"/>
    <n v="0.4"/>
    <n v="0.9"/>
    <n v="0.44444444444444448"/>
    <n v="0.4"/>
    <n v="0.6"/>
    <n v="6"/>
    <n v="0.66666666666666674"/>
    <n v="0.5"/>
    <n v="0.6"/>
    <n v="0.83333333333333337"/>
    <n v="0.3"/>
    <n v="0.9"/>
    <n v="1.2"/>
    <n v="0.4"/>
    <n v="0"/>
    <n v="0"/>
    <n v="0.1"/>
    <n v="0.4"/>
    <n v="2.4"/>
  </r>
  <r>
    <n v="4230"/>
    <x v="421"/>
    <x v="13"/>
    <x v="25"/>
    <x v="0"/>
    <x v="17"/>
    <n v="0"/>
    <n v="6.7"/>
    <n v="0.8"/>
    <n v="1.6"/>
    <n v="0.5"/>
    <n v="0.2"/>
    <n v="0.6"/>
    <n v="0.33333333333333337"/>
    <n v="0.6"/>
    <n v="1"/>
    <n v="10"/>
    <n v="0.6"/>
    <n v="0.4"/>
    <n v="0.8"/>
    <n v="0.5"/>
    <n v="0.3"/>
    <n v="0.9"/>
    <n v="1.2"/>
    <n v="0.3"/>
    <n v="0.2"/>
    <n v="0"/>
    <n v="0.2"/>
    <n v="0.5"/>
    <n v="2.2999999999999998"/>
  </r>
  <r>
    <n v="4240"/>
    <x v="422"/>
    <x v="10"/>
    <x v="11"/>
    <x v="3"/>
    <x v="33"/>
    <n v="0"/>
    <n v="4.3"/>
    <n v="1"/>
    <n v="2"/>
    <n v="0.5"/>
    <n v="0"/>
    <n v="0.8"/>
    <n v="0"/>
    <n v="1"/>
    <n v="1.3"/>
    <n v="13"/>
    <n v="0.76923076923076916"/>
    <n v="0.3"/>
    <n v="0.3"/>
    <n v="1"/>
    <n v="0.8"/>
    <n v="0.3"/>
    <n v="1"/>
    <n v="0.3"/>
    <n v="0"/>
    <n v="0"/>
    <n v="1"/>
    <n v="0"/>
    <n v="2.2999999999999998"/>
  </r>
  <r>
    <n v="4260"/>
    <x v="423"/>
    <x v="5"/>
    <x v="27"/>
    <x v="3"/>
    <x v="31"/>
    <n v="0"/>
    <n v="3.3"/>
    <n v="1"/>
    <n v="1.3"/>
    <n v="0.76923076923076916"/>
    <n v="0.3"/>
    <n v="0.7"/>
    <n v="0.4285714285714286"/>
    <n v="0.7"/>
    <n v="0.7"/>
    <n v="7"/>
    <n v="1"/>
    <n v="0"/>
    <n v="0"/>
    <n v="0"/>
    <n v="0"/>
    <n v="1"/>
    <n v="1"/>
    <n v="0"/>
    <n v="0.3"/>
    <n v="0"/>
    <n v="0"/>
    <n v="0"/>
    <n v="2.2999999999999998"/>
  </r>
  <r>
    <n v="4220"/>
    <x v="424"/>
    <x v="7"/>
    <x v="2"/>
    <x v="0"/>
    <x v="33"/>
    <n v="0"/>
    <n v="8.5"/>
    <n v="1"/>
    <n v="1.8"/>
    <n v="0.55555555555555558"/>
    <n v="0.3"/>
    <n v="0.5"/>
    <n v="0.6"/>
    <n v="0.8"/>
    <n v="1.3"/>
    <n v="13"/>
    <n v="0.61538461538461542"/>
    <n v="0"/>
    <n v="0"/>
    <n v="0"/>
    <n v="0.8"/>
    <n v="1.3"/>
    <n v="2"/>
    <n v="0"/>
    <n v="0"/>
    <n v="0.3"/>
    <n v="0.5"/>
    <n v="1"/>
    <n v="2.2999999999999998"/>
  </r>
  <r>
    <n v="4250"/>
    <x v="425"/>
    <x v="15"/>
    <x v="19"/>
    <x v="0"/>
    <x v="29"/>
    <n v="0"/>
    <n v="7.1"/>
    <n v="1"/>
    <n v="2.1"/>
    <n v="0.47619047619047616"/>
    <n v="0"/>
    <n v="0.1"/>
    <n v="0"/>
    <n v="1"/>
    <n v="2"/>
    <n v="20"/>
    <n v="0.5"/>
    <n v="0.3"/>
    <n v="1"/>
    <n v="0.3"/>
    <n v="0.6"/>
    <n v="1.9"/>
    <n v="2.6"/>
    <n v="0.3"/>
    <n v="0"/>
    <n v="0.3"/>
    <n v="0.4"/>
    <n v="0.7"/>
    <n v="2.2999999999999998"/>
  </r>
  <r>
    <n v="4270"/>
    <x v="426"/>
    <x v="10"/>
    <x v="16"/>
    <x v="2"/>
    <x v="3"/>
    <n v="0"/>
    <n v="8.1"/>
    <n v="0.9"/>
    <n v="1.3"/>
    <n v="0.69230769230769229"/>
    <n v="0"/>
    <n v="0.1"/>
    <n v="0"/>
    <n v="0.9"/>
    <n v="1.2"/>
    <n v="12"/>
    <n v="0.75"/>
    <n v="0.4"/>
    <n v="0.5"/>
    <n v="0.8"/>
    <n v="0.6"/>
    <n v="1.2"/>
    <n v="1.9"/>
    <n v="0.5"/>
    <n v="0.3"/>
    <n v="0.5"/>
    <n v="0.4"/>
    <n v="1"/>
    <n v="2.2000000000000002"/>
  </r>
  <r>
    <n v="4290"/>
    <x v="427"/>
    <x v="11"/>
    <x v="8"/>
    <x v="1"/>
    <x v="17"/>
    <n v="0"/>
    <n v="7.2"/>
    <n v="0.7"/>
    <n v="1.7"/>
    <n v="0.41176470588235292"/>
    <n v="0.4"/>
    <n v="1"/>
    <n v="0.4"/>
    <n v="0.3"/>
    <n v="0.7"/>
    <n v="7"/>
    <n v="0.4285714285714286"/>
    <n v="0.4"/>
    <n v="0.6"/>
    <n v="0.66666666666666674"/>
    <n v="0.1"/>
    <n v="0.7"/>
    <n v="0.8"/>
    <n v="0.9"/>
    <n v="0.4"/>
    <n v="0"/>
    <n v="0.4"/>
    <n v="0.5"/>
    <n v="2.1"/>
  </r>
  <r>
    <n v="4280"/>
    <x v="428"/>
    <x v="10"/>
    <x v="10"/>
    <x v="2"/>
    <x v="20"/>
    <n v="0"/>
    <n v="9.6"/>
    <n v="1"/>
    <n v="1.7"/>
    <n v="0.58823529411764708"/>
    <n v="0"/>
    <n v="0.1"/>
    <n v="0"/>
    <n v="1"/>
    <n v="1.6"/>
    <n v="16"/>
    <n v="0.625"/>
    <n v="0.1"/>
    <n v="0.2"/>
    <n v="0.5"/>
    <n v="1.1000000000000001"/>
    <n v="1.4"/>
    <n v="2.5"/>
    <n v="0.3"/>
    <n v="0.3"/>
    <n v="0.4"/>
    <n v="0.3"/>
    <n v="1.2"/>
    <n v="2.1"/>
  </r>
  <r>
    <n v="4300"/>
    <x v="429"/>
    <x v="4"/>
    <x v="19"/>
    <x v="3"/>
    <x v="18"/>
    <n v="1"/>
    <n v="7.5"/>
    <n v="0.9"/>
    <n v="1.9"/>
    <n v="0.47368421052631582"/>
    <n v="0.2"/>
    <n v="0.7"/>
    <n v="0.28571428571428575"/>
    <n v="0.7"/>
    <n v="1.2"/>
    <n v="12"/>
    <n v="0.58333333333333337"/>
    <n v="0.2"/>
    <n v="0.4"/>
    <n v="0.5"/>
    <n v="0.7"/>
    <n v="1.1000000000000001"/>
    <n v="1.7"/>
    <n v="0.7"/>
    <n v="0.3"/>
    <n v="0"/>
    <n v="0.5"/>
    <n v="1.2"/>
    <n v="2.1"/>
  </r>
  <r>
    <n v="4310"/>
    <x v="430"/>
    <x v="4"/>
    <x v="25"/>
    <x v="4"/>
    <x v="22"/>
    <n v="0"/>
    <n v="4.0999999999999996"/>
    <n v="0.7"/>
    <n v="1.4"/>
    <n v="0.5"/>
    <n v="0.4"/>
    <n v="0.8"/>
    <n v="0.5"/>
    <n v="0.3"/>
    <n v="0.6"/>
    <n v="6"/>
    <n v="0.5"/>
    <n v="0.1"/>
    <n v="0.3"/>
    <n v="0.33333333333333337"/>
    <n v="0.2"/>
    <n v="0.6"/>
    <n v="0.8"/>
    <n v="0.1"/>
    <n v="0.1"/>
    <n v="0.1"/>
    <n v="0.1"/>
    <n v="0.3"/>
    <n v="2"/>
  </r>
  <r>
    <n v="4400"/>
    <x v="431"/>
    <x v="10"/>
    <x v="8"/>
    <x v="2"/>
    <x v="28"/>
    <n v="0"/>
    <n v="6.3"/>
    <n v="0.8"/>
    <n v="1.9"/>
    <n v="0.4210526315789474"/>
    <n v="0.1"/>
    <n v="0.6"/>
    <n v="0.16666666666666669"/>
    <n v="0.6"/>
    <n v="1.3"/>
    <n v="13"/>
    <n v="0.46153846153846151"/>
    <n v="0.4"/>
    <n v="0.8"/>
    <n v="0.5"/>
    <n v="0.4"/>
    <n v="1.1000000000000001"/>
    <n v="1.5"/>
    <n v="1.1000000000000001"/>
    <n v="0.3"/>
    <n v="0.1"/>
    <n v="0.4"/>
    <n v="0.8"/>
    <n v="2"/>
  </r>
  <r>
    <n v="4320"/>
    <x v="432"/>
    <x v="8"/>
    <x v="11"/>
    <x v="4"/>
    <x v="33"/>
    <n v="0"/>
    <n v="5.8"/>
    <n v="1"/>
    <n v="2.2999999999999998"/>
    <n v="0.43478260869565222"/>
    <n v="0"/>
    <n v="1.3"/>
    <n v="0"/>
    <n v="1"/>
    <n v="1"/>
    <n v="10"/>
    <n v="1"/>
    <n v="0"/>
    <n v="0.3"/>
    <n v="0"/>
    <n v="0"/>
    <n v="0.5"/>
    <n v="0.5"/>
    <n v="0.5"/>
    <n v="0.5"/>
    <n v="0"/>
    <n v="0.3"/>
    <n v="0.5"/>
    <n v="2"/>
  </r>
  <r>
    <n v="4360"/>
    <x v="433"/>
    <x v="15"/>
    <x v="4"/>
    <x v="1"/>
    <x v="20"/>
    <n v="0"/>
    <n v="6.6"/>
    <n v="0.7"/>
    <n v="2"/>
    <n v="0.35"/>
    <n v="0.5"/>
    <n v="1.3"/>
    <n v="0.38461538461538458"/>
    <n v="0.2"/>
    <n v="0.6"/>
    <n v="6"/>
    <n v="0.33333333333333337"/>
    <n v="0"/>
    <n v="0"/>
    <n v="0"/>
    <n v="0.2"/>
    <n v="0.7"/>
    <n v="1"/>
    <n v="0.8"/>
    <n v="0.3"/>
    <n v="0.1"/>
    <n v="0.3"/>
    <n v="0.4"/>
    <n v="2"/>
  </r>
  <r>
    <n v="4340"/>
    <x v="434"/>
    <x v="4"/>
    <x v="4"/>
    <x v="4"/>
    <x v="17"/>
    <n v="1"/>
    <n v="7.9"/>
    <n v="0.6"/>
    <n v="1.9"/>
    <n v="0.31578947368421051"/>
    <n v="0.5"/>
    <n v="1.6"/>
    <n v="0.3125"/>
    <n v="0.1"/>
    <n v="0.3"/>
    <n v="3"/>
    <n v="0.33333333333333337"/>
    <n v="0.2"/>
    <n v="0.2"/>
    <n v="1"/>
    <n v="0.2"/>
    <n v="0.4"/>
    <n v="0.6"/>
    <n v="0.3"/>
    <n v="0.2"/>
    <n v="0.1"/>
    <n v="0"/>
    <n v="0.6"/>
    <n v="2"/>
  </r>
  <r>
    <n v="4390"/>
    <x v="435"/>
    <x v="5"/>
    <x v="1"/>
    <x v="0"/>
    <x v="27"/>
    <n v="0"/>
    <n v="2"/>
    <n v="1"/>
    <n v="1"/>
    <n v="1"/>
    <n v="0"/>
    <n v="0"/>
    <n v="0"/>
    <n v="1"/>
    <n v="1"/>
    <n v="10"/>
    <n v="1"/>
    <n v="0"/>
    <n v="0"/>
    <n v="0"/>
    <n v="1"/>
    <n v="0"/>
    <n v="1"/>
    <n v="0"/>
    <n v="0"/>
    <n v="0"/>
    <n v="0"/>
    <n v="0"/>
    <n v="2"/>
  </r>
  <r>
    <n v="4350"/>
    <x v="436"/>
    <x v="3"/>
    <x v="1"/>
    <x v="4"/>
    <x v="0"/>
    <n v="0"/>
    <n v="8.1"/>
    <n v="0.8"/>
    <n v="2.2999999999999998"/>
    <n v="0.34782608695652178"/>
    <n v="0.3"/>
    <n v="1.4"/>
    <n v="0.2142857142857143"/>
    <n v="0.5"/>
    <n v="1"/>
    <n v="10"/>
    <n v="0.5"/>
    <n v="0.2"/>
    <n v="0.5"/>
    <n v="0.4"/>
    <n v="0.6"/>
    <n v="1.2"/>
    <n v="1.8"/>
    <n v="0.7"/>
    <n v="0.2"/>
    <n v="0.1"/>
    <n v="0.3"/>
    <n v="0.9"/>
    <n v="2"/>
  </r>
  <r>
    <n v="4370"/>
    <x v="437"/>
    <x v="8"/>
    <x v="14"/>
    <x v="4"/>
    <x v="27"/>
    <n v="0"/>
    <n v="2"/>
    <n v="0"/>
    <n v="0"/>
    <n v="0"/>
    <n v="0"/>
    <n v="0"/>
    <n v="0"/>
    <n v="0"/>
    <n v="0"/>
    <n v="0"/>
    <n v="0"/>
    <n v="2"/>
    <n v="2"/>
    <n v="1"/>
    <n v="0"/>
    <n v="0"/>
    <n v="0"/>
    <n v="0"/>
    <n v="1"/>
    <n v="0"/>
    <n v="0"/>
    <n v="0"/>
    <n v="2"/>
  </r>
  <r>
    <n v="4420"/>
    <x v="438"/>
    <x v="17"/>
    <x v="0"/>
    <x v="0"/>
    <x v="25"/>
    <n v="0"/>
    <n v="3.5"/>
    <n v="0.8"/>
    <n v="1.3"/>
    <n v="0.61538461538461542"/>
    <n v="0.3"/>
    <n v="0.7"/>
    <n v="0.4285714285714286"/>
    <n v="0.5"/>
    <n v="0.5"/>
    <n v="5"/>
    <n v="1"/>
    <n v="0.1"/>
    <n v="0.2"/>
    <n v="0.5"/>
    <n v="0.1"/>
    <n v="0.8"/>
    <n v="0.9"/>
    <n v="0.1"/>
    <n v="0"/>
    <n v="0.3"/>
    <n v="0.3"/>
    <n v="0.4"/>
    <n v="2"/>
  </r>
  <r>
    <n v="4330"/>
    <x v="439"/>
    <x v="8"/>
    <x v="10"/>
    <x v="3"/>
    <x v="34"/>
    <n v="0"/>
    <n v="7"/>
    <n v="0.5"/>
    <n v="0.5"/>
    <n v="1"/>
    <n v="0"/>
    <n v="0"/>
    <n v="0"/>
    <n v="0.5"/>
    <n v="0.5"/>
    <n v="5"/>
    <n v="1"/>
    <n v="1"/>
    <n v="1"/>
    <n v="1"/>
    <n v="0.5"/>
    <n v="0"/>
    <n v="0.5"/>
    <n v="0.5"/>
    <n v="0"/>
    <n v="0.5"/>
    <n v="0.5"/>
    <n v="1.5"/>
    <n v="2"/>
  </r>
  <r>
    <n v="4380"/>
    <x v="440"/>
    <x v="16"/>
    <x v="6"/>
    <x v="0"/>
    <x v="4"/>
    <n v="0"/>
    <n v="5"/>
    <n v="0.8"/>
    <n v="2.8"/>
    <n v="0.28571428571428575"/>
    <n v="0.4"/>
    <n v="1.4"/>
    <n v="0.28571428571428575"/>
    <n v="0.4"/>
    <n v="1.4"/>
    <n v="14"/>
    <n v="0.28571428571428575"/>
    <n v="0"/>
    <n v="0"/>
    <n v="0"/>
    <n v="0"/>
    <n v="1.2"/>
    <n v="1.2"/>
    <n v="0.6"/>
    <n v="0"/>
    <n v="0.2"/>
    <n v="0.4"/>
    <n v="0.2"/>
    <n v="2"/>
  </r>
  <r>
    <n v="4410"/>
    <x v="441"/>
    <x v="4"/>
    <x v="24"/>
    <x v="2"/>
    <x v="33"/>
    <n v="0"/>
    <n v="5.3"/>
    <n v="1"/>
    <n v="1.8"/>
    <n v="0.55555555555555558"/>
    <n v="0"/>
    <n v="0"/>
    <n v="0"/>
    <n v="1"/>
    <n v="1.8"/>
    <n v="18"/>
    <n v="0.55555555555555558"/>
    <n v="0"/>
    <n v="0"/>
    <n v="0"/>
    <n v="1.3"/>
    <n v="0.3"/>
    <n v="1.5"/>
    <n v="0.3"/>
    <n v="0"/>
    <n v="0"/>
    <n v="0.3"/>
    <n v="0.3"/>
    <n v="2"/>
  </r>
  <r>
    <n v="4430"/>
    <x v="442"/>
    <x v="4"/>
    <x v="12"/>
    <x v="2"/>
    <x v="13"/>
    <n v="0"/>
    <n v="8.3000000000000007"/>
    <n v="0.8"/>
    <n v="1.2"/>
    <n v="0.66666666666666674"/>
    <n v="0"/>
    <n v="0"/>
    <n v="0"/>
    <n v="0.8"/>
    <n v="1.2"/>
    <n v="12"/>
    <n v="0.66666666666666674"/>
    <n v="0.3"/>
    <n v="0.7"/>
    <n v="0.4285714285714286"/>
    <n v="0.3"/>
    <n v="1.5"/>
    <n v="1.8"/>
    <n v="0.5"/>
    <n v="0"/>
    <n v="0.7"/>
    <n v="0.8"/>
    <n v="1.2"/>
    <n v="1.8"/>
  </r>
  <r>
    <n v="4440"/>
    <x v="443"/>
    <x v="3"/>
    <x v="15"/>
    <x v="4"/>
    <x v="33"/>
    <n v="0"/>
    <n v="6.5"/>
    <n v="0.8"/>
    <n v="1"/>
    <n v="0.8"/>
    <n v="0.3"/>
    <n v="0.5"/>
    <n v="0.6"/>
    <n v="0.5"/>
    <n v="0.5"/>
    <n v="5"/>
    <n v="1"/>
    <n v="0"/>
    <n v="0"/>
    <n v="0"/>
    <n v="0"/>
    <n v="2.2999999999999998"/>
    <n v="2.2999999999999998"/>
    <n v="0.3"/>
    <n v="0"/>
    <n v="0.8"/>
    <n v="0.3"/>
    <n v="0.5"/>
    <n v="1.8"/>
  </r>
  <r>
    <n v="4460"/>
    <x v="444"/>
    <x v="1"/>
    <x v="12"/>
    <x v="2"/>
    <x v="7"/>
    <n v="2"/>
    <n v="11.6"/>
    <n v="0.8"/>
    <n v="1.2"/>
    <n v="0.66666666666666674"/>
    <n v="0"/>
    <n v="0"/>
    <n v="0"/>
    <n v="0.8"/>
    <n v="1.2"/>
    <n v="12"/>
    <n v="0.66666666666666674"/>
    <n v="0.2"/>
    <n v="0.3"/>
    <n v="0.66666666666666674"/>
    <n v="1.3"/>
    <n v="2.2000000000000002"/>
    <n v="3.6"/>
    <n v="0.6"/>
    <n v="0.2"/>
    <n v="0.3"/>
    <n v="0.5"/>
    <n v="1.3"/>
    <n v="1.7"/>
  </r>
  <r>
    <n v="4450"/>
    <x v="445"/>
    <x v="10"/>
    <x v="0"/>
    <x v="4"/>
    <x v="22"/>
    <n v="0"/>
    <n v="3.9"/>
    <n v="0.6"/>
    <n v="1.5"/>
    <n v="0.39999999999999997"/>
    <n v="0.2"/>
    <n v="0.7"/>
    <n v="0.28571428571428575"/>
    <n v="0.4"/>
    <n v="0.7"/>
    <n v="7"/>
    <n v="0.57142857142857151"/>
    <n v="0.3"/>
    <n v="0.4"/>
    <n v="0.74999999999999989"/>
    <n v="0.1"/>
    <n v="0.9"/>
    <n v="1.1000000000000001"/>
    <n v="0.1"/>
    <n v="0.1"/>
    <n v="0"/>
    <n v="0.7"/>
    <n v="0.3"/>
    <n v="1.7"/>
  </r>
  <r>
    <n v="4470"/>
    <x v="446"/>
    <x v="17"/>
    <x v="5"/>
    <x v="0"/>
    <x v="0"/>
    <n v="1"/>
    <n v="8.8000000000000007"/>
    <n v="0.6"/>
    <n v="1.8"/>
    <n v="0.33333333333333331"/>
    <n v="0.3"/>
    <n v="1.2"/>
    <n v="0.25"/>
    <n v="0.3"/>
    <n v="0.6"/>
    <n v="6"/>
    <n v="0.5"/>
    <n v="0.2"/>
    <n v="0.4"/>
    <n v="0.5"/>
    <n v="0.4"/>
    <n v="0.8"/>
    <n v="1.3"/>
    <n v="0.3"/>
    <n v="0.3"/>
    <n v="0.3"/>
    <n v="0.3"/>
    <n v="0.6"/>
    <n v="1.7"/>
  </r>
  <r>
    <n v="4520"/>
    <x v="447"/>
    <x v="9"/>
    <x v="8"/>
    <x v="2"/>
    <x v="9"/>
    <n v="3"/>
    <n v="7.4"/>
    <n v="0.7"/>
    <n v="1.3"/>
    <n v="0.53846153846153844"/>
    <n v="0"/>
    <n v="0.1"/>
    <n v="0"/>
    <n v="0.7"/>
    <n v="1.2"/>
    <n v="12"/>
    <n v="0.58333333333333337"/>
    <n v="0.2"/>
    <n v="0.4"/>
    <n v="0.5"/>
    <n v="0.7"/>
    <n v="1.2"/>
    <n v="1.9"/>
    <n v="0.9"/>
    <n v="0.2"/>
    <n v="0.6"/>
    <n v="0.3"/>
    <n v="0.9"/>
    <n v="1.6"/>
  </r>
  <r>
    <n v="4480"/>
    <x v="448"/>
    <x v="18"/>
    <x v="12"/>
    <x v="3"/>
    <x v="13"/>
    <n v="0"/>
    <n v="6.8"/>
    <n v="0.5"/>
    <n v="1.7"/>
    <n v="0.29411764705882354"/>
    <n v="0.4"/>
    <n v="1.2"/>
    <n v="0.33333333333333337"/>
    <n v="0.1"/>
    <n v="0.5"/>
    <n v="5"/>
    <n v="0.2"/>
    <n v="0.2"/>
    <n v="0.2"/>
    <n v="1"/>
    <n v="0"/>
    <n v="1.1000000000000001"/>
    <n v="1.1000000000000001"/>
    <n v="0.4"/>
    <n v="0.1"/>
    <n v="0.2"/>
    <n v="0.1"/>
    <n v="0.4"/>
    <n v="1.6"/>
  </r>
  <r>
    <n v="4510"/>
    <x v="449"/>
    <x v="3"/>
    <x v="22"/>
    <x v="1"/>
    <x v="22"/>
    <n v="0"/>
    <n v="3.5"/>
    <n v="0.5"/>
    <n v="1.3"/>
    <n v="0.38461538461538458"/>
    <n v="0.3"/>
    <n v="0.9"/>
    <n v="0.33333333333333331"/>
    <n v="0.3"/>
    <n v="0.4"/>
    <n v="4"/>
    <n v="0.74999999999999989"/>
    <n v="0.3"/>
    <n v="0.4"/>
    <n v="0.74999999999999989"/>
    <n v="0"/>
    <n v="0.3"/>
    <n v="0.3"/>
    <n v="0.7"/>
    <n v="0.1"/>
    <n v="0"/>
    <n v="0.3"/>
    <n v="0.3"/>
    <n v="1.6"/>
  </r>
  <r>
    <n v="4500"/>
    <x v="450"/>
    <x v="21"/>
    <x v="26"/>
    <x v="0"/>
    <x v="4"/>
    <n v="0"/>
    <n v="4.4000000000000004"/>
    <n v="0.8"/>
    <n v="1.4"/>
    <n v="0.57142857142857151"/>
    <n v="0"/>
    <n v="0.2"/>
    <n v="0"/>
    <n v="0.8"/>
    <n v="1.2"/>
    <n v="12"/>
    <n v="0.66666666666666674"/>
    <n v="0"/>
    <n v="0.2"/>
    <n v="0"/>
    <n v="0"/>
    <n v="0.8"/>
    <n v="0.8"/>
    <n v="0.6"/>
    <n v="0"/>
    <n v="0.4"/>
    <n v="0.8"/>
    <n v="0.6"/>
    <n v="1.6"/>
  </r>
  <r>
    <n v="4530"/>
    <x v="451"/>
    <x v="15"/>
    <x v="6"/>
    <x v="2"/>
    <x v="12"/>
    <n v="0"/>
    <n v="7.9"/>
    <n v="0.4"/>
    <n v="0.5"/>
    <n v="0.8"/>
    <n v="0"/>
    <n v="0"/>
    <n v="0"/>
    <n v="0.4"/>
    <n v="0.5"/>
    <n v="5"/>
    <n v="0.8"/>
    <n v="0.7"/>
    <n v="1"/>
    <n v="0.7"/>
    <n v="0.6"/>
    <n v="1.2"/>
    <n v="1.8"/>
    <n v="0.7"/>
    <n v="0.4"/>
    <n v="0.5"/>
    <n v="0.2"/>
    <n v="1.2"/>
    <n v="1.6"/>
  </r>
  <r>
    <n v="4490"/>
    <x v="452"/>
    <x v="8"/>
    <x v="6"/>
    <x v="1"/>
    <x v="22"/>
    <n v="0"/>
    <n v="3.7"/>
    <n v="0.6"/>
    <n v="1.5"/>
    <n v="0.39999999999999997"/>
    <n v="0.3"/>
    <n v="0.7"/>
    <n v="0.4285714285714286"/>
    <n v="0.3"/>
    <n v="0.8"/>
    <n v="8"/>
    <n v="0.37499999999999994"/>
    <n v="0.1"/>
    <n v="0.3"/>
    <n v="0.33333333333333337"/>
    <n v="0.1"/>
    <n v="0.3"/>
    <n v="0.3"/>
    <n v="0.4"/>
    <n v="0.1"/>
    <n v="0.1"/>
    <n v="0.3"/>
    <n v="0.6"/>
    <n v="1.6"/>
  </r>
  <r>
    <n v="4540"/>
    <x v="453"/>
    <x v="8"/>
    <x v="11"/>
    <x v="2"/>
    <x v="23"/>
    <n v="0"/>
    <n v="6.8"/>
    <n v="0.5"/>
    <n v="0.9"/>
    <n v="0.55555555555555558"/>
    <n v="0"/>
    <n v="0"/>
    <n v="0"/>
    <n v="0.5"/>
    <n v="0.9"/>
    <n v="9"/>
    <n v="0.55555555555555558"/>
    <n v="0.5"/>
    <n v="0.5"/>
    <n v="1"/>
    <n v="0.5"/>
    <n v="1.2"/>
    <n v="1.8"/>
    <n v="0.1"/>
    <n v="0.1"/>
    <n v="0.5"/>
    <n v="0.4"/>
    <n v="1.2"/>
    <n v="1.5"/>
  </r>
  <r>
    <n v="4560"/>
    <x v="454"/>
    <x v="7"/>
    <x v="12"/>
    <x v="4"/>
    <x v="21"/>
    <n v="0"/>
    <n v="4.5999999999999996"/>
    <n v="0.6"/>
    <n v="2.1"/>
    <n v="0.2857142857142857"/>
    <n v="0.3"/>
    <n v="1.4"/>
    <n v="0.2142857142857143"/>
    <n v="0.3"/>
    <n v="0.7"/>
    <n v="7"/>
    <n v="0.4285714285714286"/>
    <n v="0"/>
    <n v="0"/>
    <n v="0"/>
    <n v="0"/>
    <n v="0.2"/>
    <n v="0.2"/>
    <n v="0"/>
    <n v="0.1"/>
    <n v="0"/>
    <n v="0.3"/>
    <n v="0"/>
    <n v="1.5"/>
  </r>
  <r>
    <n v="4570"/>
    <x v="455"/>
    <x v="10"/>
    <x v="14"/>
    <x v="3"/>
    <x v="21"/>
    <n v="0"/>
    <n v="4.5"/>
    <n v="0.7"/>
    <n v="1.3"/>
    <n v="0.53846153846153844"/>
    <n v="0.1"/>
    <n v="0.3"/>
    <n v="0.33333333333333337"/>
    <n v="0.6"/>
    <n v="1"/>
    <n v="10"/>
    <n v="0.6"/>
    <n v="0"/>
    <n v="0"/>
    <n v="0"/>
    <n v="0"/>
    <n v="0.2"/>
    <n v="0.2"/>
    <n v="0.5"/>
    <n v="0.2"/>
    <n v="0.1"/>
    <n v="0.3"/>
    <n v="0.1"/>
    <n v="1.5"/>
  </r>
  <r>
    <n v="4580"/>
    <x v="456"/>
    <x v="4"/>
    <x v="10"/>
    <x v="4"/>
    <x v="28"/>
    <n v="0"/>
    <n v="7.6"/>
    <n v="0.6"/>
    <n v="2.2999999999999998"/>
    <n v="0.2608695652173913"/>
    <n v="0"/>
    <n v="0.9"/>
    <n v="0"/>
    <n v="0.6"/>
    <n v="1.4"/>
    <n v="14"/>
    <n v="0.4285714285714286"/>
    <n v="0.3"/>
    <n v="0.9"/>
    <n v="0.33333333333333331"/>
    <n v="0.1"/>
    <n v="1.6"/>
    <n v="1.8"/>
    <n v="0.1"/>
    <n v="0.5"/>
    <n v="0.3"/>
    <n v="0.3"/>
    <n v="0.8"/>
    <n v="1.5"/>
  </r>
  <r>
    <n v="4550"/>
    <x v="457"/>
    <x v="10"/>
    <x v="26"/>
    <x v="0"/>
    <x v="23"/>
    <n v="1"/>
    <n v="7"/>
    <n v="0.6"/>
    <n v="1.3"/>
    <n v="0.46153846153846151"/>
    <n v="0.1"/>
    <n v="0.4"/>
    <n v="0.25"/>
    <n v="0.5"/>
    <n v="0.9"/>
    <n v="9"/>
    <n v="0.55555555555555558"/>
    <n v="0.3"/>
    <n v="0.5"/>
    <n v="0.6"/>
    <n v="0.2"/>
    <n v="0.6"/>
    <n v="0.8"/>
    <n v="0.4"/>
    <n v="0.1"/>
    <n v="0.1"/>
    <n v="0.2"/>
    <n v="0.9"/>
    <n v="1.5"/>
  </r>
  <r>
    <n v="4600"/>
    <x v="458"/>
    <x v="5"/>
    <x v="1"/>
    <x v="3"/>
    <x v="25"/>
    <n v="0"/>
    <n v="3.6"/>
    <n v="0.5"/>
    <n v="1.8"/>
    <n v="0.27777777777777779"/>
    <n v="0.5"/>
    <n v="1.7"/>
    <n v="0.29411764705882354"/>
    <n v="0"/>
    <n v="0.1"/>
    <n v="1"/>
    <n v="0"/>
    <n v="0"/>
    <n v="0"/>
    <n v="0"/>
    <n v="0.2"/>
    <n v="0.4"/>
    <n v="0.5"/>
    <n v="0"/>
    <n v="0.2"/>
    <n v="0"/>
    <n v="0"/>
    <n v="0.4"/>
    <n v="1.4"/>
  </r>
  <r>
    <n v="4610"/>
    <x v="459"/>
    <x v="17"/>
    <x v="0"/>
    <x v="3"/>
    <x v="4"/>
    <n v="0"/>
    <n v="2.2000000000000002"/>
    <n v="0.6"/>
    <n v="1.2"/>
    <n v="0.5"/>
    <n v="0.2"/>
    <n v="0.2"/>
    <n v="1"/>
    <n v="0.4"/>
    <n v="1"/>
    <n v="10"/>
    <n v="0.4"/>
    <n v="0"/>
    <n v="0"/>
    <n v="0"/>
    <n v="0"/>
    <n v="0.4"/>
    <n v="0.4"/>
    <n v="0.2"/>
    <n v="0"/>
    <n v="0"/>
    <n v="0.4"/>
    <n v="0"/>
    <n v="1.4"/>
  </r>
  <r>
    <n v="4590"/>
    <x v="460"/>
    <x v="10"/>
    <x v="22"/>
    <x v="2"/>
    <x v="21"/>
    <n v="0"/>
    <n v="4.5999999999999996"/>
    <n v="0.2"/>
    <n v="1"/>
    <n v="0.2"/>
    <n v="0"/>
    <n v="0.4"/>
    <n v="0"/>
    <n v="0.2"/>
    <n v="0.6"/>
    <n v="6"/>
    <n v="0.33333333333333337"/>
    <n v="1"/>
    <n v="1.1000000000000001"/>
    <n v="0.90909090909090906"/>
    <n v="0.3"/>
    <n v="0.6"/>
    <n v="0.9"/>
    <n v="0"/>
    <n v="0.1"/>
    <n v="0.1"/>
    <n v="0.1"/>
    <n v="0.6"/>
    <n v="1.4"/>
  </r>
  <r>
    <n v="4620"/>
    <x v="461"/>
    <x v="4"/>
    <x v="5"/>
    <x v="3"/>
    <x v="29"/>
    <n v="0"/>
    <n v="4.5"/>
    <n v="0.3"/>
    <n v="1"/>
    <n v="0.3"/>
    <n v="0"/>
    <n v="0.3"/>
    <n v="0"/>
    <n v="0.3"/>
    <n v="0.7"/>
    <n v="7"/>
    <n v="0.4285714285714286"/>
    <n v="0.9"/>
    <n v="1.1000000000000001"/>
    <n v="0.81818181818181812"/>
    <n v="0.3"/>
    <n v="0.7"/>
    <n v="1"/>
    <n v="0.4"/>
    <n v="0.3"/>
    <n v="0"/>
    <n v="0.1"/>
    <n v="0.6"/>
    <n v="1.4"/>
  </r>
  <r>
    <n v="4630"/>
    <x v="462"/>
    <x v="11"/>
    <x v="27"/>
    <x v="0"/>
    <x v="15"/>
    <n v="0"/>
    <n v="3.5"/>
    <n v="0.5"/>
    <n v="1.8"/>
    <n v="0.27777777777777779"/>
    <n v="0.3"/>
    <n v="1.3"/>
    <n v="0.23076923076923075"/>
    <n v="0.2"/>
    <n v="0.5"/>
    <n v="5"/>
    <n v="0.4"/>
    <n v="0"/>
    <n v="0"/>
    <n v="0"/>
    <n v="0.2"/>
    <n v="0.5"/>
    <n v="0.7"/>
    <n v="0.2"/>
    <n v="0"/>
    <n v="0.2"/>
    <n v="0.2"/>
    <n v="0.2"/>
    <n v="1.3"/>
  </r>
  <r>
    <n v="4640"/>
    <x v="463"/>
    <x v="11"/>
    <x v="23"/>
    <x v="1"/>
    <x v="25"/>
    <n v="0"/>
    <n v="5.2"/>
    <n v="0.5"/>
    <n v="1.6"/>
    <n v="0.3125"/>
    <n v="0"/>
    <n v="0.3"/>
    <n v="0"/>
    <n v="0.5"/>
    <n v="1.4"/>
    <n v="14"/>
    <n v="0.35714285714285715"/>
    <n v="0.2"/>
    <n v="0.2"/>
    <n v="1"/>
    <n v="0.4"/>
    <n v="0.7"/>
    <n v="1.1000000000000001"/>
    <n v="1.5"/>
    <n v="0.5"/>
    <n v="0"/>
    <n v="0.4"/>
    <n v="0.4"/>
    <n v="1.3"/>
  </r>
  <r>
    <n v="4650"/>
    <x v="464"/>
    <x v="3"/>
    <x v="19"/>
    <x v="3"/>
    <x v="15"/>
    <n v="0"/>
    <n v="7"/>
    <n v="0.5"/>
    <n v="1.2"/>
    <n v="0.41666666666666669"/>
    <n v="0"/>
    <n v="0.5"/>
    <n v="0"/>
    <n v="0.5"/>
    <n v="0.7"/>
    <n v="7"/>
    <n v="0.7142857142857143"/>
    <n v="0.3"/>
    <n v="0.3"/>
    <n v="1"/>
    <n v="0.2"/>
    <n v="0.8"/>
    <n v="1"/>
    <n v="0.8"/>
    <n v="0.2"/>
    <n v="0.2"/>
    <n v="0.3"/>
    <n v="0.5"/>
    <n v="1.3"/>
  </r>
  <r>
    <n v="4660"/>
    <x v="465"/>
    <x v="17"/>
    <x v="9"/>
    <x v="4"/>
    <x v="24"/>
    <n v="0"/>
    <n v="3.2"/>
    <n v="0.5"/>
    <n v="1"/>
    <n v="0.5"/>
    <n v="0.2"/>
    <n v="0.5"/>
    <n v="0.4"/>
    <n v="0.2"/>
    <n v="0.5"/>
    <n v="5"/>
    <n v="0.4"/>
    <n v="0"/>
    <n v="0.3"/>
    <n v="0"/>
    <n v="0.2"/>
    <n v="0.5"/>
    <n v="0.6"/>
    <n v="0.5"/>
    <n v="0"/>
    <n v="0"/>
    <n v="0.1"/>
    <n v="0.4"/>
    <n v="1.2"/>
  </r>
  <r>
    <n v="4680"/>
    <x v="466"/>
    <x v="10"/>
    <x v="2"/>
    <x v="0"/>
    <x v="11"/>
    <n v="0"/>
    <n v="4.5999999999999996"/>
    <n v="0.6"/>
    <n v="1.4"/>
    <n v="0.4285714285714286"/>
    <n v="0"/>
    <n v="0.5"/>
    <n v="0"/>
    <n v="0.6"/>
    <n v="0.9"/>
    <n v="9"/>
    <n v="0.66666666666666663"/>
    <n v="0.1"/>
    <n v="0.3"/>
    <n v="0.33333333333333337"/>
    <n v="0.1"/>
    <n v="0.3"/>
    <n v="0.4"/>
    <n v="0.2"/>
    <n v="0.1"/>
    <n v="0.1"/>
    <n v="0.1"/>
    <n v="0.4"/>
    <n v="1.2"/>
  </r>
  <r>
    <n v="4670"/>
    <x v="467"/>
    <x v="4"/>
    <x v="5"/>
    <x v="1"/>
    <x v="4"/>
    <n v="0"/>
    <n v="4.8"/>
    <n v="0.4"/>
    <n v="1"/>
    <n v="0.4"/>
    <n v="0.2"/>
    <n v="0.6"/>
    <n v="0.33333333333333337"/>
    <n v="0.2"/>
    <n v="0.4"/>
    <n v="4"/>
    <n v="0.5"/>
    <n v="0.2"/>
    <n v="0.4"/>
    <n v="0.5"/>
    <n v="0"/>
    <n v="0.4"/>
    <n v="0.4"/>
    <n v="0.2"/>
    <n v="0.2"/>
    <n v="0"/>
    <n v="1.2"/>
    <n v="0.2"/>
    <n v="1.2"/>
  </r>
  <r>
    <n v="4690"/>
    <x v="468"/>
    <x v="4"/>
    <x v="8"/>
    <x v="3"/>
    <x v="3"/>
    <n v="0"/>
    <n v="5.4"/>
    <n v="0.5"/>
    <n v="1.1000000000000001"/>
    <n v="0.45454545454545453"/>
    <n v="0.2"/>
    <n v="0.4"/>
    <n v="0.5"/>
    <n v="0.3"/>
    <n v="0.7"/>
    <n v="7"/>
    <n v="0.4285714285714286"/>
    <n v="0"/>
    <n v="0"/>
    <n v="0"/>
    <n v="0.3"/>
    <n v="0.6"/>
    <n v="0.9"/>
    <n v="0.2"/>
    <n v="0.2"/>
    <n v="0.2"/>
    <n v="0.3"/>
    <n v="0.6"/>
    <n v="1.1000000000000001"/>
  </r>
  <r>
    <n v="4700"/>
    <x v="469"/>
    <x v="1"/>
    <x v="5"/>
    <x v="2"/>
    <x v="3"/>
    <n v="1"/>
    <n v="7.8"/>
    <n v="0.5"/>
    <n v="1.6"/>
    <n v="0.3125"/>
    <n v="0.2"/>
    <n v="0.9"/>
    <n v="0.22222222222222224"/>
    <n v="0.3"/>
    <n v="0.8"/>
    <n v="8"/>
    <n v="0.37499999999999994"/>
    <n v="0"/>
    <n v="0.1"/>
    <n v="0"/>
    <n v="0.4"/>
    <n v="1.2"/>
    <n v="1.5"/>
    <n v="0.3"/>
    <n v="0.4"/>
    <n v="0.2"/>
    <n v="0.3"/>
    <n v="0.6"/>
    <n v="1.1000000000000001"/>
  </r>
  <r>
    <n v="4740"/>
    <x v="470"/>
    <x v="4"/>
    <x v="29"/>
    <x v="3"/>
    <x v="34"/>
    <n v="0"/>
    <n v="3.5"/>
    <n v="0.5"/>
    <n v="1"/>
    <n v="0.5"/>
    <n v="0"/>
    <n v="0.5"/>
    <n v="0"/>
    <n v="0.5"/>
    <n v="0.5"/>
    <n v="5"/>
    <n v="1"/>
    <n v="0"/>
    <n v="0"/>
    <n v="0"/>
    <n v="0.5"/>
    <n v="0"/>
    <n v="0.5"/>
    <n v="0.5"/>
    <n v="0"/>
    <n v="0"/>
    <n v="0"/>
    <n v="0"/>
    <n v="1"/>
  </r>
  <r>
    <n v="4750"/>
    <x v="471"/>
    <x v="10"/>
    <x v="23"/>
    <x v="0"/>
    <x v="34"/>
    <n v="0"/>
    <n v="2.5"/>
    <n v="0.5"/>
    <n v="1.5"/>
    <n v="0.33333333333333331"/>
    <n v="0"/>
    <n v="1"/>
    <n v="0"/>
    <n v="0.5"/>
    <n v="0.5"/>
    <n v="5"/>
    <n v="1"/>
    <n v="0"/>
    <n v="0"/>
    <n v="0"/>
    <n v="0.5"/>
    <n v="0"/>
    <n v="0.5"/>
    <n v="0.5"/>
    <n v="0"/>
    <n v="0"/>
    <n v="0"/>
    <n v="0"/>
    <n v="1"/>
  </r>
  <r>
    <n v="4760"/>
    <x v="472"/>
    <x v="5"/>
    <x v="3"/>
    <x v="3"/>
    <x v="33"/>
    <n v="0"/>
    <n v="3"/>
    <n v="0.5"/>
    <n v="2"/>
    <n v="0.25"/>
    <n v="0"/>
    <n v="0.5"/>
    <n v="0"/>
    <n v="0.5"/>
    <n v="1.5"/>
    <n v="15"/>
    <n v="0.33333333333333331"/>
    <n v="0"/>
    <n v="0"/>
    <n v="0"/>
    <n v="0.5"/>
    <n v="0.5"/>
    <n v="1"/>
    <n v="0.5"/>
    <n v="0.3"/>
    <n v="0"/>
    <n v="0.3"/>
    <n v="0.3"/>
    <n v="1"/>
  </r>
  <r>
    <n v="4730"/>
    <x v="473"/>
    <x v="8"/>
    <x v="13"/>
    <x v="4"/>
    <x v="31"/>
    <n v="0"/>
    <n v="1.7"/>
    <n v="0.3"/>
    <n v="0.7"/>
    <n v="0.4285714285714286"/>
    <n v="0.3"/>
    <n v="0.3"/>
    <n v="1"/>
    <n v="0"/>
    <n v="0.3"/>
    <n v="3"/>
    <n v="0"/>
    <n v="0"/>
    <n v="0"/>
    <n v="0"/>
    <n v="0"/>
    <n v="0"/>
    <n v="0"/>
    <n v="0"/>
    <n v="0"/>
    <n v="0"/>
    <n v="0"/>
    <n v="0.3"/>
    <n v="1"/>
  </r>
  <r>
    <n v="4720"/>
    <x v="474"/>
    <x v="4"/>
    <x v="21"/>
    <x v="0"/>
    <x v="34"/>
    <n v="0"/>
    <n v="5.5"/>
    <n v="0.5"/>
    <n v="2"/>
    <n v="0.25"/>
    <n v="0"/>
    <n v="1"/>
    <n v="0"/>
    <n v="0.5"/>
    <n v="1"/>
    <n v="10"/>
    <n v="0.5"/>
    <n v="0"/>
    <n v="0"/>
    <n v="0"/>
    <n v="0"/>
    <n v="1"/>
    <n v="1"/>
    <n v="0"/>
    <n v="0"/>
    <n v="0"/>
    <n v="0.5"/>
    <n v="0"/>
    <n v="1"/>
  </r>
  <r>
    <n v="4710"/>
    <x v="475"/>
    <x v="8"/>
    <x v="21"/>
    <x v="4"/>
    <x v="15"/>
    <n v="0"/>
    <n v="4.2"/>
    <n v="0.3"/>
    <n v="1"/>
    <n v="0.3"/>
    <n v="0.2"/>
    <n v="0.2"/>
    <n v="1"/>
    <n v="0.2"/>
    <n v="0.8"/>
    <n v="8"/>
    <n v="0.25"/>
    <n v="0.2"/>
    <n v="0.3"/>
    <n v="0.66666666666666674"/>
    <n v="0"/>
    <n v="0.7"/>
    <n v="0.7"/>
    <n v="0.2"/>
    <n v="0.2"/>
    <n v="0"/>
    <n v="0"/>
    <n v="0.3"/>
    <n v="1"/>
  </r>
  <r>
    <n v="4780"/>
    <x v="476"/>
    <x v="8"/>
    <x v="2"/>
    <x v="3"/>
    <x v="21"/>
    <n v="0"/>
    <n v="4.8"/>
    <n v="0.3"/>
    <n v="1.2"/>
    <n v="0.25"/>
    <n v="0.1"/>
    <n v="0.6"/>
    <n v="0.16666666666666669"/>
    <n v="0.2"/>
    <n v="0.6"/>
    <n v="6"/>
    <n v="0.33333333333333337"/>
    <n v="0.2"/>
    <n v="0.2"/>
    <n v="1"/>
    <n v="0"/>
    <n v="0.1"/>
    <n v="0.1"/>
    <n v="0.3"/>
    <n v="0"/>
    <n v="0.1"/>
    <n v="0.1"/>
    <n v="0.3"/>
    <n v="0.9"/>
  </r>
  <r>
    <n v="4770"/>
    <x v="477"/>
    <x v="4"/>
    <x v="30"/>
    <x v="4"/>
    <x v="28"/>
    <n v="0"/>
    <n v="3.8"/>
    <n v="0.4"/>
    <n v="0.9"/>
    <n v="0.44444444444444448"/>
    <n v="0.1"/>
    <n v="0.1"/>
    <n v="1"/>
    <n v="0.3"/>
    <n v="0.8"/>
    <n v="8"/>
    <n v="0.37499999999999994"/>
    <n v="0"/>
    <n v="0"/>
    <n v="0"/>
    <n v="0.3"/>
    <n v="0"/>
    <n v="0.3"/>
    <n v="0.3"/>
    <n v="0.1"/>
    <n v="0"/>
    <n v="0.3"/>
    <n v="0.1"/>
    <n v="0.9"/>
  </r>
  <r>
    <n v="4790"/>
    <x v="478"/>
    <x v="10"/>
    <x v="18"/>
    <x v="3"/>
    <x v="33"/>
    <n v="0"/>
    <n v="8.3000000000000007"/>
    <n v="0.3"/>
    <n v="1.8"/>
    <n v="0.16666666666666666"/>
    <n v="0"/>
    <n v="0.8"/>
    <n v="0"/>
    <n v="0.3"/>
    <n v="1"/>
    <n v="10"/>
    <n v="0.3"/>
    <n v="0.3"/>
    <n v="0.3"/>
    <n v="1"/>
    <n v="0"/>
    <n v="1"/>
    <n v="1"/>
    <n v="0.8"/>
    <n v="0.5"/>
    <n v="0"/>
    <n v="1"/>
    <n v="0.3"/>
    <n v="0.8"/>
  </r>
  <r>
    <n v="4800"/>
    <x v="479"/>
    <x v="18"/>
    <x v="18"/>
    <x v="0"/>
    <x v="4"/>
    <n v="0"/>
    <n v="3.8"/>
    <n v="0.4"/>
    <n v="0.6"/>
    <n v="0.66666666666666674"/>
    <n v="0"/>
    <n v="0"/>
    <n v="0"/>
    <n v="0.4"/>
    <n v="0.6"/>
    <n v="6"/>
    <n v="0.66666666666666674"/>
    <n v="0"/>
    <n v="0"/>
    <n v="0"/>
    <n v="0.4"/>
    <n v="0.4"/>
    <n v="0.8"/>
    <n v="0.2"/>
    <n v="0"/>
    <n v="0"/>
    <n v="0.4"/>
    <n v="0.8"/>
    <n v="0.8"/>
  </r>
  <r>
    <n v="4820"/>
    <x v="480"/>
    <x v="3"/>
    <x v="20"/>
    <x v="0"/>
    <x v="4"/>
    <n v="0"/>
    <n v="7.8"/>
    <n v="0.4"/>
    <n v="1"/>
    <n v="0.4"/>
    <n v="0"/>
    <n v="0"/>
    <n v="0"/>
    <n v="0.4"/>
    <n v="1"/>
    <n v="10"/>
    <n v="0.4"/>
    <n v="0"/>
    <n v="0"/>
    <n v="0"/>
    <n v="1.2"/>
    <n v="0.8"/>
    <n v="2"/>
    <n v="0"/>
    <n v="0.6"/>
    <n v="0.6"/>
    <n v="0.8"/>
    <n v="0.8"/>
    <n v="0.8"/>
  </r>
  <r>
    <n v="4810"/>
    <x v="481"/>
    <x v="11"/>
    <x v="14"/>
    <x v="3"/>
    <x v="30"/>
    <n v="0"/>
    <n v="3.9"/>
    <n v="0.2"/>
    <n v="0.3"/>
    <n v="0.66666666666666674"/>
    <n v="0.2"/>
    <n v="0.3"/>
    <n v="0.66666666666666674"/>
    <n v="0"/>
    <n v="0"/>
    <n v="0"/>
    <n v="0"/>
    <n v="0.1"/>
    <n v="0.7"/>
    <n v="0.14285714285714288"/>
    <n v="0.1"/>
    <n v="0.4"/>
    <n v="0.6"/>
    <n v="0.6"/>
    <n v="0.1"/>
    <n v="0"/>
    <n v="0.1"/>
    <n v="0.3"/>
    <n v="0.8"/>
  </r>
  <r>
    <n v="4830"/>
    <x v="482"/>
    <x v="4"/>
    <x v="23"/>
    <x v="0"/>
    <x v="21"/>
    <n v="0"/>
    <n v="4.7"/>
    <n v="0.3"/>
    <n v="0.9"/>
    <n v="0.33333333333333331"/>
    <n v="0.1"/>
    <n v="0.6"/>
    <n v="0.16666666666666669"/>
    <n v="0.2"/>
    <n v="0.3"/>
    <n v="3"/>
    <n v="0.66666666666666674"/>
    <n v="0.1"/>
    <n v="0.2"/>
    <n v="0.5"/>
    <n v="0.2"/>
    <n v="0.7"/>
    <n v="0.9"/>
    <n v="0.4"/>
    <n v="0"/>
    <n v="0.2"/>
    <n v="0.3"/>
    <n v="0.6"/>
    <n v="0.8"/>
  </r>
  <r>
    <n v="4840"/>
    <x v="483"/>
    <x v="10"/>
    <x v="5"/>
    <x v="3"/>
    <x v="4"/>
    <n v="0"/>
    <n v="6.8"/>
    <n v="0.2"/>
    <n v="2"/>
    <n v="0.1"/>
    <n v="0"/>
    <n v="1.2"/>
    <n v="0"/>
    <n v="0.2"/>
    <n v="0.8"/>
    <n v="8"/>
    <n v="0.25"/>
    <n v="0.4"/>
    <n v="0.4"/>
    <n v="1"/>
    <n v="0.4"/>
    <n v="1"/>
    <n v="1.4"/>
    <n v="0.4"/>
    <n v="0.2"/>
    <n v="0"/>
    <n v="0"/>
    <n v="0.6"/>
    <n v="0.8"/>
  </r>
  <r>
    <n v="4880"/>
    <x v="484"/>
    <x v="8"/>
    <x v="25"/>
    <x v="2"/>
    <x v="31"/>
    <n v="0"/>
    <n v="2.2999999999999998"/>
    <n v="0.3"/>
    <n v="1.3"/>
    <n v="0.23076923076923075"/>
    <n v="0"/>
    <n v="1"/>
    <n v="0"/>
    <n v="0.3"/>
    <n v="0.3"/>
    <n v="3"/>
    <n v="1"/>
    <n v="0"/>
    <n v="0"/>
    <n v="0"/>
    <n v="0.3"/>
    <n v="0"/>
    <n v="0.3"/>
    <n v="0"/>
    <n v="0"/>
    <n v="0.3"/>
    <n v="0"/>
    <n v="0.3"/>
    <n v="0.7"/>
  </r>
  <r>
    <n v="4870"/>
    <x v="485"/>
    <x v="5"/>
    <x v="0"/>
    <x v="2"/>
    <x v="32"/>
    <n v="0"/>
    <n v="4.7"/>
    <n v="0.3"/>
    <n v="0.6"/>
    <n v="0.5"/>
    <n v="0"/>
    <n v="0.1"/>
    <n v="0"/>
    <n v="0.3"/>
    <n v="0.4"/>
    <n v="4"/>
    <n v="0.74999999999999989"/>
    <n v="0.1"/>
    <n v="0.6"/>
    <n v="0.16666666666666669"/>
    <n v="0.6"/>
    <n v="0.4"/>
    <n v="1"/>
    <n v="0.1"/>
    <n v="0.1"/>
    <n v="0.1"/>
    <n v="0.1"/>
    <n v="0.6"/>
    <n v="0.7"/>
  </r>
  <r>
    <n v="4860"/>
    <x v="486"/>
    <x v="8"/>
    <x v="0"/>
    <x v="4"/>
    <x v="31"/>
    <n v="0"/>
    <n v="2"/>
    <n v="0.3"/>
    <n v="0.7"/>
    <n v="0.4285714285714286"/>
    <n v="0"/>
    <n v="0"/>
    <n v="0"/>
    <n v="0.3"/>
    <n v="0.7"/>
    <n v="7"/>
    <n v="0.4285714285714286"/>
    <n v="0"/>
    <n v="0"/>
    <n v="0"/>
    <n v="0.3"/>
    <n v="0.3"/>
    <n v="0.7"/>
    <n v="0.3"/>
    <n v="0.3"/>
    <n v="0"/>
    <n v="0.3"/>
    <n v="0"/>
    <n v="0.7"/>
  </r>
  <r>
    <n v="4850"/>
    <x v="487"/>
    <x v="4"/>
    <x v="2"/>
    <x v="2"/>
    <x v="15"/>
    <n v="0"/>
    <n v="2.2999999999999998"/>
    <n v="0.3"/>
    <n v="0.8"/>
    <n v="0.37499999999999994"/>
    <n v="0"/>
    <n v="0.3"/>
    <n v="0"/>
    <n v="0.3"/>
    <n v="0.5"/>
    <n v="5"/>
    <n v="0.6"/>
    <n v="0"/>
    <n v="0"/>
    <n v="0"/>
    <n v="0"/>
    <n v="0.5"/>
    <n v="0.5"/>
    <n v="0"/>
    <n v="0"/>
    <n v="0.2"/>
    <n v="0"/>
    <n v="0.2"/>
    <n v="0.7"/>
  </r>
  <r>
    <n v="4890"/>
    <x v="488"/>
    <x v="5"/>
    <x v="1"/>
    <x v="2"/>
    <x v="32"/>
    <n v="0"/>
    <n v="3.6"/>
    <n v="0.1"/>
    <n v="1.1000000000000001"/>
    <n v="9.0909090909090912E-2"/>
    <n v="0"/>
    <n v="0.9"/>
    <n v="0"/>
    <n v="0.1"/>
    <n v="0.3"/>
    <n v="3"/>
    <n v="0.33333333333333337"/>
    <n v="0.3"/>
    <n v="0.3"/>
    <n v="1"/>
    <n v="0.4"/>
    <n v="0.9"/>
    <n v="1.3"/>
    <n v="0.4"/>
    <n v="0.1"/>
    <n v="0.1"/>
    <n v="0.1"/>
    <n v="0.1"/>
    <n v="0.6"/>
  </r>
  <r>
    <n v="4910"/>
    <x v="489"/>
    <x v="3"/>
    <x v="26"/>
    <x v="3"/>
    <x v="4"/>
    <n v="0"/>
    <n v="1.6"/>
    <n v="0.2"/>
    <n v="1.2"/>
    <n v="0.16666666666666669"/>
    <n v="0"/>
    <n v="0.6"/>
    <n v="0"/>
    <n v="0.2"/>
    <n v="0.6"/>
    <n v="6"/>
    <n v="0.33333333333333337"/>
    <n v="0.2"/>
    <n v="0.2"/>
    <n v="1"/>
    <n v="0"/>
    <n v="0"/>
    <n v="0"/>
    <n v="0.2"/>
    <n v="0"/>
    <n v="0"/>
    <n v="0.2"/>
    <n v="0.4"/>
    <n v="0.6"/>
  </r>
  <r>
    <n v="4900"/>
    <x v="490"/>
    <x v="8"/>
    <x v="13"/>
    <x v="3"/>
    <x v="4"/>
    <n v="0"/>
    <n v="2"/>
    <n v="0.2"/>
    <n v="1.4"/>
    <n v="0.14285714285714288"/>
    <n v="0"/>
    <n v="0.6"/>
    <n v="0"/>
    <n v="0.2"/>
    <n v="0.8"/>
    <n v="8"/>
    <n v="0.25"/>
    <n v="0.2"/>
    <n v="0.4"/>
    <n v="0.5"/>
    <n v="0"/>
    <n v="0.4"/>
    <n v="0.4"/>
    <n v="0"/>
    <n v="0"/>
    <n v="0"/>
    <n v="0"/>
    <n v="0"/>
    <n v="0.6"/>
  </r>
  <r>
    <n v="4930"/>
    <x v="491"/>
    <x v="20"/>
    <x v="18"/>
    <x v="3"/>
    <x v="25"/>
    <n v="0"/>
    <n v="4.3"/>
    <n v="0.2"/>
    <n v="0.9"/>
    <n v="0.22222222222222224"/>
    <n v="0.1"/>
    <n v="0.5"/>
    <n v="0.2"/>
    <n v="0.1"/>
    <n v="0.5"/>
    <n v="5"/>
    <n v="0.2"/>
    <n v="0"/>
    <n v="0"/>
    <n v="0"/>
    <n v="0.1"/>
    <n v="0.7"/>
    <n v="0.8"/>
    <n v="0.6"/>
    <n v="0.4"/>
    <n v="0.1"/>
    <n v="0.4"/>
    <n v="0.5"/>
    <n v="0.5"/>
  </r>
  <r>
    <n v="4920"/>
    <x v="492"/>
    <x v="17"/>
    <x v="10"/>
    <x v="3"/>
    <x v="28"/>
    <n v="0"/>
    <n v="2.5"/>
    <n v="0.1"/>
    <n v="1.1000000000000001"/>
    <n v="9.0909090909090912E-2"/>
    <n v="0"/>
    <n v="0.5"/>
    <n v="0"/>
    <n v="0.1"/>
    <n v="0.6"/>
    <n v="6"/>
    <n v="0.16666666666666669"/>
    <n v="0.3"/>
    <n v="0.3"/>
    <n v="1"/>
    <n v="0.1"/>
    <n v="0"/>
    <n v="0.1"/>
    <n v="0.4"/>
    <n v="0.1"/>
    <n v="0.1"/>
    <n v="0"/>
    <n v="0.3"/>
    <n v="0.5"/>
  </r>
  <r>
    <n v="4960"/>
    <x v="493"/>
    <x v="5"/>
    <x v="0"/>
    <x v="3"/>
    <x v="28"/>
    <n v="0"/>
    <n v="3.3"/>
    <n v="0.1"/>
    <n v="0.6"/>
    <n v="0.16666666666666669"/>
    <n v="0.1"/>
    <n v="0.5"/>
    <n v="0.2"/>
    <n v="0"/>
    <n v="0.1"/>
    <n v="1"/>
    <n v="0"/>
    <n v="0"/>
    <n v="0.3"/>
    <n v="0"/>
    <n v="0"/>
    <n v="0.8"/>
    <n v="0.8"/>
    <n v="0.3"/>
    <n v="0.1"/>
    <n v="0.1"/>
    <n v="0"/>
    <n v="0.1"/>
    <n v="0.4"/>
  </r>
  <r>
    <n v="4950"/>
    <x v="494"/>
    <x v="3"/>
    <x v="2"/>
    <x v="4"/>
    <x v="4"/>
    <n v="0"/>
    <n v="2.6"/>
    <n v="0.2"/>
    <n v="0.8"/>
    <n v="0.25"/>
    <n v="0"/>
    <n v="0.6"/>
    <n v="0"/>
    <n v="0.2"/>
    <n v="0.2"/>
    <n v="2"/>
    <n v="1"/>
    <n v="0"/>
    <n v="0"/>
    <n v="0"/>
    <n v="0"/>
    <n v="0.6"/>
    <n v="0.6"/>
    <n v="0"/>
    <n v="0.4"/>
    <n v="0"/>
    <n v="0.2"/>
    <n v="0.2"/>
    <n v="0.4"/>
  </r>
  <r>
    <n v="4940"/>
    <x v="495"/>
    <x v="3"/>
    <x v="30"/>
    <x v="1"/>
    <x v="32"/>
    <n v="0"/>
    <n v="3.9"/>
    <n v="0.1"/>
    <n v="0.6"/>
    <n v="0.16666666666666669"/>
    <n v="0"/>
    <n v="0.3"/>
    <n v="0"/>
    <n v="0.1"/>
    <n v="0.3"/>
    <n v="3"/>
    <n v="0.33333333333333337"/>
    <n v="0.1"/>
    <n v="0.3"/>
    <n v="0.33333333333333337"/>
    <n v="0.1"/>
    <n v="0"/>
    <n v="0.1"/>
    <n v="0.4"/>
    <n v="0.1"/>
    <n v="0"/>
    <n v="0.3"/>
    <n v="0.4"/>
    <n v="0.4"/>
  </r>
  <r>
    <n v="4970"/>
    <x v="496"/>
    <x v="3"/>
    <x v="7"/>
    <x v="4"/>
    <x v="33"/>
    <n v="0"/>
    <n v="4.3"/>
    <n v="0"/>
    <n v="0.8"/>
    <n v="0"/>
    <n v="0"/>
    <n v="0.8"/>
    <n v="0"/>
    <n v="0"/>
    <n v="0"/>
    <n v="0"/>
    <n v="0"/>
    <n v="0.3"/>
    <n v="0.5"/>
    <n v="0.6"/>
    <n v="0"/>
    <n v="0.8"/>
    <n v="0.8"/>
    <n v="0"/>
    <n v="0"/>
    <n v="0"/>
    <n v="0.5"/>
    <n v="0"/>
    <n v="0.3"/>
  </r>
  <r>
    <n v="4980"/>
    <x v="497"/>
    <x v="5"/>
    <x v="1"/>
    <x v="4"/>
    <x v="15"/>
    <n v="0"/>
    <n v="3.5"/>
    <n v="0"/>
    <n v="0.3"/>
    <n v="0"/>
    <n v="0"/>
    <n v="0.2"/>
    <n v="0"/>
    <n v="0"/>
    <n v="0.2"/>
    <n v="2"/>
    <n v="0"/>
    <n v="0.3"/>
    <n v="0.7"/>
    <n v="0.4285714285714286"/>
    <n v="0.2"/>
    <n v="0.3"/>
    <n v="0.5"/>
    <n v="0.2"/>
    <n v="0"/>
    <n v="0"/>
    <n v="0.2"/>
    <n v="0.7"/>
    <n v="0.3"/>
  </r>
  <r>
    <n v="4990"/>
    <x v="498"/>
    <x v="4"/>
    <x v="14"/>
    <x v="1"/>
    <x v="31"/>
    <n v="0"/>
    <n v="4.3"/>
    <n v="0"/>
    <n v="0.3"/>
    <n v="0"/>
    <n v="0"/>
    <n v="0.3"/>
    <n v="0"/>
    <n v="0"/>
    <n v="0"/>
    <n v="0"/>
    <n v="0"/>
    <n v="0.3"/>
    <n v="0.7"/>
    <n v="0.4285714285714286"/>
    <n v="0"/>
    <n v="1.3"/>
    <n v="1.3"/>
    <n v="1"/>
    <n v="0"/>
    <n v="0"/>
    <n v="1.3"/>
    <n v="0.3"/>
    <n v="0.3"/>
  </r>
  <r>
    <n v="5000"/>
    <x v="499"/>
    <x v="10"/>
    <x v="12"/>
    <x v="4"/>
    <x v="30"/>
    <n v="0"/>
    <n v="2.7"/>
    <n v="0.1"/>
    <n v="0.3"/>
    <n v="0.33333333333333337"/>
    <n v="0"/>
    <n v="0.2"/>
    <n v="0"/>
    <n v="0.1"/>
    <n v="0.1"/>
    <n v="1"/>
    <n v="1"/>
    <n v="0"/>
    <n v="0"/>
    <n v="0"/>
    <n v="0"/>
    <n v="0.4"/>
    <n v="0.4"/>
    <n v="0.4"/>
    <n v="0"/>
    <n v="0"/>
    <n v="0.1"/>
    <n v="0.1"/>
    <n v="0.2"/>
  </r>
  <r>
    <n v="5120"/>
    <x v="500"/>
    <x v="10"/>
    <x v="9"/>
    <x v="4"/>
    <x v="27"/>
    <n v="0"/>
    <n v="7"/>
    <n v="0"/>
    <n v="1"/>
    <n v="0"/>
    <n v="0"/>
    <n v="1"/>
    <n v="0"/>
    <n v="0"/>
    <n v="0"/>
    <n v="0"/>
    <n v="0"/>
    <n v="0"/>
    <n v="0"/>
    <n v="0"/>
    <n v="0"/>
    <n v="2"/>
    <n v="2"/>
    <n v="0"/>
    <n v="0"/>
    <n v="0"/>
    <n v="0"/>
    <n v="0"/>
    <n v="0"/>
  </r>
  <r>
    <n v="5070"/>
    <x v="501"/>
    <x v="4"/>
    <x v="9"/>
    <x v="4"/>
    <x v="27"/>
    <n v="0"/>
    <n v="7"/>
    <n v="0"/>
    <n v="1"/>
    <n v="0"/>
    <n v="0"/>
    <n v="0"/>
    <n v="0"/>
    <n v="0"/>
    <n v="1"/>
    <n v="10"/>
    <n v="0"/>
    <n v="0"/>
    <n v="0"/>
    <n v="0"/>
    <n v="0"/>
    <n v="1"/>
    <n v="1"/>
    <n v="0"/>
    <n v="0"/>
    <n v="0"/>
    <n v="0"/>
    <n v="1"/>
    <n v="0"/>
  </r>
  <r>
    <n v="5090"/>
    <x v="502"/>
    <x v="1"/>
    <x v="8"/>
    <x v="3"/>
    <x v="31"/>
    <n v="0"/>
    <n v="4.3"/>
    <n v="0"/>
    <n v="0.7"/>
    <n v="0"/>
    <n v="0"/>
    <n v="0.7"/>
    <n v="0"/>
    <n v="0"/>
    <n v="0"/>
    <n v="0"/>
    <n v="0"/>
    <n v="0"/>
    <n v="0"/>
    <n v="0"/>
    <n v="0.3"/>
    <n v="1"/>
    <n v="1.3"/>
    <n v="2.2999999999999998"/>
    <n v="0"/>
    <n v="0"/>
    <n v="0"/>
    <n v="0.3"/>
    <n v="0"/>
  </r>
  <r>
    <n v="5030"/>
    <x v="503"/>
    <x v="3"/>
    <x v="8"/>
    <x v="4"/>
    <x v="34"/>
    <n v="0"/>
    <n v="3.5"/>
    <n v="0"/>
    <n v="0"/>
    <n v="0"/>
    <n v="0"/>
    <n v="0"/>
    <n v="0"/>
    <n v="0"/>
    <n v="0"/>
    <n v="0"/>
    <n v="0"/>
    <n v="0"/>
    <n v="0"/>
    <n v="0"/>
    <n v="0"/>
    <n v="0.5"/>
    <n v="0.5"/>
    <n v="0"/>
    <n v="0"/>
    <n v="0"/>
    <n v="0"/>
    <n v="0.5"/>
    <n v="0"/>
  </r>
  <r>
    <n v="5010"/>
    <x v="504"/>
    <x v="4"/>
    <x v="8"/>
    <x v="1"/>
    <x v="27"/>
    <n v="0"/>
    <n v="11"/>
    <n v="0"/>
    <n v="3"/>
    <n v="0"/>
    <n v="0"/>
    <n v="2"/>
    <n v="0"/>
    <n v="0"/>
    <n v="1"/>
    <n v="10"/>
    <n v="0"/>
    <n v="0"/>
    <n v="0"/>
    <n v="0"/>
    <n v="0"/>
    <n v="5"/>
    <n v="5"/>
    <n v="2"/>
    <n v="0"/>
    <n v="0"/>
    <n v="0"/>
    <n v="2"/>
    <n v="0"/>
  </r>
  <r>
    <n v="5110"/>
    <x v="505"/>
    <x v="5"/>
    <x v="29"/>
    <x v="4"/>
    <x v="27"/>
    <n v="0"/>
    <n v="6"/>
    <n v="0"/>
    <n v="0"/>
    <n v="0"/>
    <n v="0"/>
    <n v="0"/>
    <n v="0"/>
    <n v="0"/>
    <n v="0"/>
    <n v="0"/>
    <n v="0"/>
    <n v="0"/>
    <n v="0"/>
    <n v="0"/>
    <n v="0"/>
    <n v="1"/>
    <n v="1"/>
    <n v="0"/>
    <n v="0"/>
    <n v="0"/>
    <n v="0"/>
    <n v="1"/>
    <n v="0"/>
  </r>
  <r>
    <n v="5100"/>
    <x v="506"/>
    <x v="1"/>
    <x v="4"/>
    <x v="3"/>
    <x v="27"/>
    <n v="0"/>
    <n v="5"/>
    <n v="0"/>
    <n v="0"/>
    <n v="0"/>
    <n v="0"/>
    <n v="0"/>
    <n v="0"/>
    <n v="0"/>
    <n v="0"/>
    <n v="0"/>
    <n v="0"/>
    <n v="0"/>
    <n v="0"/>
    <n v="0"/>
    <n v="0"/>
    <n v="1"/>
    <n v="1"/>
    <n v="2"/>
    <n v="0"/>
    <n v="0"/>
    <n v="0"/>
    <n v="0"/>
    <n v="0"/>
  </r>
  <r>
    <n v="5040"/>
    <x v="507"/>
    <x v="10"/>
    <x v="1"/>
    <x v="3"/>
    <x v="33"/>
    <n v="0"/>
    <n v="1.8"/>
    <n v="0"/>
    <n v="0.8"/>
    <n v="0"/>
    <n v="0"/>
    <n v="0.5"/>
    <n v="0"/>
    <n v="0"/>
    <n v="0.3"/>
    <n v="3"/>
    <n v="0"/>
    <n v="0"/>
    <n v="0"/>
    <n v="0"/>
    <n v="0"/>
    <n v="0"/>
    <n v="0"/>
    <n v="0"/>
    <n v="0"/>
    <n v="0"/>
    <n v="0"/>
    <n v="0"/>
    <n v="0"/>
  </r>
  <r>
    <n v="5060"/>
    <x v="508"/>
    <x v="21"/>
    <x v="14"/>
    <x v="4"/>
    <x v="32"/>
    <n v="0"/>
    <n v="3.7"/>
    <n v="0"/>
    <n v="0.3"/>
    <n v="0"/>
    <n v="0"/>
    <n v="0.3"/>
    <n v="0"/>
    <n v="0"/>
    <n v="0"/>
    <n v="0"/>
    <n v="0"/>
    <n v="0"/>
    <n v="0"/>
    <n v="0"/>
    <n v="0.3"/>
    <n v="0"/>
    <n v="0.3"/>
    <n v="1.3"/>
    <n v="0"/>
    <n v="0"/>
    <n v="0.1"/>
    <n v="0.7"/>
    <n v="0"/>
  </r>
  <r>
    <n v="5020"/>
    <x v="509"/>
    <x v="3"/>
    <x v="15"/>
    <x v="3"/>
    <x v="34"/>
    <n v="0"/>
    <n v="2"/>
    <n v="0"/>
    <n v="0.5"/>
    <n v="0"/>
    <n v="0"/>
    <n v="0.5"/>
    <n v="0"/>
    <n v="0"/>
    <n v="0"/>
    <n v="0"/>
    <n v="0"/>
    <n v="0"/>
    <n v="0"/>
    <n v="0"/>
    <n v="0"/>
    <n v="1"/>
    <n v="1"/>
    <n v="0"/>
    <n v="0"/>
    <n v="0"/>
    <n v="1"/>
    <n v="0"/>
    <n v="0"/>
  </r>
  <r>
    <n v="5130"/>
    <x v="510"/>
    <x v="5"/>
    <x v="17"/>
    <x v="4"/>
    <x v="34"/>
    <n v="0"/>
    <n v="6.5"/>
    <n v="0"/>
    <n v="2.5"/>
    <n v="0"/>
    <n v="0"/>
    <n v="2.5"/>
    <n v="0"/>
    <n v="0"/>
    <n v="0"/>
    <n v="0"/>
    <n v="0"/>
    <n v="0"/>
    <n v="0"/>
    <n v="0"/>
    <n v="0"/>
    <n v="1"/>
    <n v="1"/>
    <n v="0.5"/>
    <n v="0"/>
    <n v="0"/>
    <n v="0"/>
    <n v="0.5"/>
    <n v="0"/>
  </r>
  <r>
    <n v="5080"/>
    <x v="511"/>
    <x v="3"/>
    <x v="17"/>
    <x v="1"/>
    <x v="34"/>
    <n v="0"/>
    <n v="2.5"/>
    <n v="0"/>
    <n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.5"/>
    <n v="0"/>
  </r>
  <r>
    <n v="5050"/>
    <x v="512"/>
    <x v="10"/>
    <x v="6"/>
    <x v="4"/>
    <x v="13"/>
    <n v="0"/>
    <n v="2.2000000000000002"/>
    <n v="0"/>
    <n v="0.5"/>
    <n v="0"/>
    <n v="0"/>
    <n v="0.3"/>
    <n v="0"/>
    <n v="0"/>
    <n v="0.2"/>
    <n v="2"/>
    <n v="0"/>
    <n v="0"/>
    <n v="0"/>
    <n v="0"/>
    <n v="0"/>
    <n v="0.2"/>
    <n v="0.2"/>
    <n v="0.1"/>
    <n v="0"/>
    <n v="0.1"/>
    <n v="0.1"/>
    <n v="0.3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0EBAC3-FEB5-4F86-BB57-D13DAC098753}" name="TablaDinámica4" cacheId="92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B3:R13" firstHeaderRow="0" firstDataRow="1" firstDataCol="1" rowPageCount="1" colPageCount="1"/>
  <pivotFields count="32">
    <pivotField showAll="0"/>
    <pivotField axis="axisRow" showAll="0" measureFilter="1" sortType="descending">
      <items count="514">
        <item x="29"/>
        <item x="216"/>
        <item x="466"/>
        <item x="33"/>
        <item x="148"/>
        <item x="299"/>
        <item x="157"/>
        <item x="188"/>
        <item x="449"/>
        <item x="469"/>
        <item x="350"/>
        <item x="237"/>
        <item x="167"/>
        <item x="424"/>
        <item x="368"/>
        <item x="309"/>
        <item x="9"/>
        <item x="239"/>
        <item x="479"/>
        <item x="116"/>
        <item x="409"/>
        <item x="11"/>
        <item x="265"/>
        <item x="60"/>
        <item x="438"/>
        <item x="416"/>
        <item x="22"/>
        <item x="171"/>
        <item x="489"/>
        <item x="484"/>
        <item x="425"/>
        <item x="205"/>
        <item x="41"/>
        <item x="249"/>
        <item x="417"/>
        <item x="476"/>
        <item x="305"/>
        <item x="207"/>
        <item x="225"/>
        <item x="103"/>
        <item x="374"/>
        <item x="219"/>
        <item x="30"/>
        <item x="198"/>
        <item x="257"/>
        <item x="110"/>
        <item x="169"/>
        <item x="323"/>
        <item x="342"/>
        <item x="127"/>
        <item x="455"/>
        <item x="280"/>
        <item x="396"/>
        <item x="328"/>
        <item x="241"/>
        <item x="144"/>
        <item x="275"/>
        <item x="412"/>
        <item x="154"/>
        <item x="235"/>
        <item x="408"/>
        <item x="150"/>
        <item x="32"/>
        <item x="493"/>
        <item x="494"/>
        <item x="201"/>
        <item x="274"/>
        <item x="465"/>
        <item x="255"/>
        <item x="1"/>
        <item x="62"/>
        <item x="314"/>
        <item x="155"/>
        <item x="43"/>
        <item x="143"/>
        <item x="111"/>
        <item x="338"/>
        <item x="254"/>
        <item x="231"/>
        <item x="341"/>
        <item x="276"/>
        <item x="130"/>
        <item x="129"/>
        <item x="164"/>
        <item x="159"/>
        <item x="281"/>
        <item x="258"/>
        <item x="362"/>
        <item x="26"/>
        <item x="500"/>
        <item x="296"/>
        <item x="392"/>
        <item x="358"/>
        <item x="382"/>
        <item x="495"/>
        <item x="384"/>
        <item x="471"/>
        <item x="399"/>
        <item x="285"/>
        <item x="170"/>
        <item x="306"/>
        <item x="487"/>
        <item x="481"/>
        <item x="211"/>
        <item x="398"/>
        <item x="317"/>
        <item x="87"/>
        <item x="313"/>
        <item x="82"/>
        <item x="364"/>
        <item x="168"/>
        <item x="430"/>
        <item x="463"/>
        <item x="333"/>
        <item x="48"/>
        <item x="4"/>
        <item x="448"/>
        <item x="118"/>
        <item x="403"/>
        <item x="357"/>
        <item x="393"/>
        <item x="431"/>
        <item x="141"/>
        <item x="419"/>
        <item x="75"/>
        <item x="145"/>
        <item x="165"/>
        <item x="24"/>
        <item x="212"/>
        <item x="45"/>
        <item x="213"/>
        <item x="2"/>
        <item x="376"/>
        <item x="195"/>
        <item x="391"/>
        <item x="190"/>
        <item x="177"/>
        <item x="304"/>
        <item x="117"/>
        <item x="151"/>
        <item x="92"/>
        <item x="378"/>
        <item x="474"/>
        <item x="229"/>
        <item x="386"/>
        <item x="112"/>
        <item x="301"/>
        <item x="349"/>
        <item x="180"/>
        <item x="61"/>
        <item x="227"/>
        <item x="57"/>
        <item x="55"/>
        <item x="351"/>
        <item x="477"/>
        <item x="418"/>
        <item x="287"/>
        <item x="233"/>
        <item x="454"/>
        <item x="319"/>
        <item x="343"/>
        <item x="502"/>
        <item x="324"/>
        <item x="440"/>
        <item x="121"/>
        <item x="445"/>
        <item x="196"/>
        <item x="298"/>
        <item x="76"/>
        <item x="84"/>
        <item x="497"/>
        <item x="98"/>
        <item x="295"/>
        <item x="506"/>
        <item x="464"/>
        <item x="330"/>
        <item x="222"/>
        <item x="356"/>
        <item x="6"/>
        <item x="179"/>
        <item x="310"/>
        <item x="303"/>
        <item x="485"/>
        <item x="422"/>
        <item x="437"/>
        <item x="23"/>
        <item x="52"/>
        <item x="186"/>
        <item x="385"/>
        <item x="3"/>
        <item x="245"/>
        <item x="20"/>
        <item x="347"/>
        <item x="97"/>
        <item x="288"/>
        <item x="318"/>
        <item x="67"/>
        <item x="355"/>
        <item x="252"/>
        <item x="311"/>
        <item x="406"/>
        <item x="100"/>
        <item x="336"/>
        <item x="271"/>
        <item x="108"/>
        <item x="85"/>
        <item x="325"/>
        <item x="183"/>
        <item x="290"/>
        <item x="203"/>
        <item x="7"/>
        <item x="512"/>
        <item x="443"/>
        <item x="240"/>
        <item x="263"/>
        <item x="193"/>
        <item x="278"/>
        <item x="115"/>
        <item x="246"/>
        <item x="312"/>
        <item x="122"/>
        <item x="139"/>
        <item x="331"/>
        <item x="480"/>
        <item x="15"/>
        <item x="426"/>
        <item x="208"/>
        <item x="505"/>
        <item x="432"/>
        <item x="149"/>
        <item x="46"/>
        <item x="200"/>
        <item x="335"/>
        <item x="128"/>
        <item x="329"/>
        <item x="124"/>
        <item x="353"/>
        <item x="259"/>
        <item x="375"/>
        <item x="96"/>
        <item x="243"/>
        <item x="131"/>
        <item x="509"/>
        <item x="163"/>
        <item x="446"/>
        <item x="36"/>
        <item x="292"/>
        <item x="427"/>
        <item x="146"/>
        <item x="73"/>
        <item x="316"/>
        <item x="72"/>
        <item x="297"/>
        <item x="136"/>
        <item x="248"/>
        <item x="407"/>
        <item x="402"/>
        <item x="404"/>
        <item x="64"/>
        <item x="21"/>
        <item x="508"/>
        <item x="390"/>
        <item x="68"/>
        <item x="372"/>
        <item x="352"/>
        <item x="444"/>
        <item x="105"/>
        <item x="266"/>
        <item x="93"/>
        <item x="400"/>
        <item x="389"/>
        <item x="423"/>
        <item x="467"/>
        <item x="452"/>
        <item x="5"/>
        <item x="429"/>
        <item x="339"/>
        <item x="137"/>
        <item x="220"/>
        <item x="473"/>
        <item x="19"/>
        <item x="206"/>
        <item x="291"/>
        <item x="289"/>
        <item x="109"/>
        <item x="31"/>
        <item x="472"/>
        <item x="91"/>
        <item x="315"/>
        <item x="269"/>
        <item x="284"/>
        <item x="286"/>
        <item x="450"/>
        <item x="35"/>
        <item x="320"/>
        <item x="51"/>
        <item x="344"/>
        <item x="191"/>
        <item x="39"/>
        <item x="79"/>
        <item x="234"/>
        <item x="383"/>
        <item x="49"/>
        <item x="439"/>
        <item x="50"/>
        <item x="184"/>
        <item x="12"/>
        <item x="496"/>
        <item x="223"/>
        <item x="90"/>
        <item x="228"/>
        <item x="221"/>
        <item x="381"/>
        <item x="379"/>
        <item x="461"/>
        <item x="176"/>
        <item x="69"/>
        <item x="250"/>
        <item x="499"/>
        <item x="462"/>
        <item x="370"/>
        <item x="134"/>
        <item x="38"/>
        <item x="94"/>
        <item x="283"/>
        <item x="293"/>
        <item x="226"/>
        <item x="253"/>
        <item x="125"/>
        <item x="503"/>
        <item x="388"/>
        <item x="267"/>
        <item x="365"/>
        <item x="86"/>
        <item x="411"/>
        <item x="153"/>
        <item x="256"/>
        <item x="501"/>
        <item x="158"/>
        <item x="482"/>
        <item x="178"/>
        <item x="161"/>
        <item x="162"/>
        <item x="70"/>
        <item x="175"/>
        <item x="0"/>
        <item x="215"/>
        <item x="182"/>
        <item x="334"/>
        <item x="348"/>
        <item x="217"/>
        <item x="491"/>
        <item x="345"/>
        <item x="95"/>
        <item x="18"/>
        <item x="56"/>
        <item x="308"/>
        <item x="457"/>
        <item x="264"/>
        <item x="414"/>
        <item x="113"/>
        <item x="451"/>
        <item x="410"/>
        <item x="147"/>
        <item x="279"/>
        <item x="387"/>
        <item x="326"/>
        <item x="210"/>
        <item x="361"/>
        <item x="185"/>
        <item x="172"/>
        <item x="27"/>
        <item x="300"/>
        <item x="475"/>
        <item x="42"/>
        <item x="436"/>
        <item x="104"/>
        <item x="88"/>
        <item x="504"/>
        <item x="14"/>
        <item x="78"/>
        <item x="71"/>
        <item x="181"/>
        <item x="214"/>
        <item x="83"/>
        <item x="107"/>
        <item x="40"/>
        <item x="405"/>
        <item x="89"/>
        <item x="166"/>
        <item x="401"/>
        <item x="47"/>
        <item x="99"/>
        <item x="282"/>
        <item x="8"/>
        <item x="261"/>
        <item x="270"/>
        <item x="332"/>
        <item x="395"/>
        <item x="44"/>
        <item x="337"/>
        <item x="377"/>
        <item x="242"/>
        <item x="511"/>
        <item x="359"/>
        <item x="135"/>
        <item x="120"/>
        <item x="415"/>
        <item x="13"/>
        <item x="173"/>
        <item x="346"/>
        <item x="192"/>
        <item x="498"/>
        <item x="478"/>
        <item x="490"/>
        <item x="413"/>
        <item x="433"/>
        <item x="142"/>
        <item x="65"/>
        <item x="397"/>
        <item x="460"/>
        <item x="510"/>
        <item x="277"/>
        <item x="468"/>
        <item x="369"/>
        <item x="224"/>
        <item x="63"/>
        <item x="189"/>
        <item x="28"/>
        <item x="428"/>
        <item x="102"/>
        <item x="187"/>
        <item x="486"/>
        <item x="420"/>
        <item x="174"/>
        <item x="80"/>
        <item x="327"/>
        <item x="268"/>
        <item x="202"/>
        <item x="138"/>
        <item x="260"/>
        <item x="53"/>
        <item x="199"/>
        <item x="16"/>
        <item x="360"/>
        <item x="371"/>
        <item x="321"/>
        <item x="204"/>
        <item x="434"/>
        <item x="25"/>
        <item x="123"/>
        <item x="470"/>
        <item x="373"/>
        <item x="262"/>
        <item x="126"/>
        <item x="492"/>
        <item x="232"/>
        <item x="367"/>
        <item x="37"/>
        <item x="34"/>
        <item x="244"/>
        <item x="140"/>
        <item x="230"/>
        <item x="488"/>
        <item x="59"/>
        <item x="238"/>
        <item x="380"/>
        <item x="152"/>
        <item x="101"/>
        <item x="354"/>
        <item x="114"/>
        <item x="74"/>
        <item x="294"/>
        <item x="307"/>
        <item x="483"/>
        <item x="77"/>
        <item x="119"/>
        <item x="58"/>
        <item x="247"/>
        <item x="456"/>
        <item x="442"/>
        <item x="340"/>
        <item x="421"/>
        <item x="17"/>
        <item x="10"/>
        <item x="218"/>
        <item x="66"/>
        <item x="81"/>
        <item x="156"/>
        <item x="366"/>
        <item x="251"/>
        <item x="160"/>
        <item x="133"/>
        <item x="54"/>
        <item x="322"/>
        <item x="132"/>
        <item x="435"/>
        <item x="447"/>
        <item x="507"/>
        <item x="302"/>
        <item x="273"/>
        <item x="209"/>
        <item x="272"/>
        <item x="459"/>
        <item x="453"/>
        <item x="441"/>
        <item x="458"/>
        <item x="194"/>
        <item x="197"/>
        <item x="363"/>
        <item x="106"/>
        <item x="394"/>
        <item x="236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axis="axisPage" showAll="0">
      <items count="6">
        <item x="2"/>
        <item x="0"/>
        <item x="1"/>
        <item x="4"/>
        <item x="3"/>
        <item t="default"/>
      </items>
    </pivotField>
    <pivotField showAll="0"/>
    <pivotField showAll="0"/>
    <pivotField dataField="1" showAll="0"/>
    <pivotField dataField="1" showAll="0"/>
    <pivotField dataField="1" showAll="0"/>
    <pivotField numFmtId="164" showAll="0"/>
    <pivotField dataField="1" showAll="0"/>
    <pivotField dataField="1" showAll="0"/>
    <pivotField numFmtId="164" showAll="0"/>
    <pivotField showAll="0"/>
    <pivotField showAll="0"/>
    <pivotField showAll="0"/>
    <pivotField numFmtId="164" showAll="0"/>
    <pivotField dataField="1" showAll="0"/>
    <pivotField dataField="1" showAll="0"/>
    <pivotField numFmtId="164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10">
    <i>
      <x v="345"/>
    </i>
    <i>
      <x v="69"/>
    </i>
    <i>
      <x v="131"/>
    </i>
    <i>
      <x v="189"/>
    </i>
    <i>
      <x v="115"/>
    </i>
    <i>
      <x v="274"/>
    </i>
    <i>
      <x v="178"/>
    </i>
    <i>
      <x v="210"/>
    </i>
    <i>
      <x v="394"/>
    </i>
    <i>
      <x v="16"/>
    </i>
  </rowItems>
  <colFields count="1">
    <field x="-2"/>
  </colFields>
  <col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colItems>
  <pageFields count="1">
    <pageField fld="4" hier="-1"/>
  </pageFields>
  <dataFields count="16">
    <dataField name="Suma de MP" fld="7" baseField="0" baseItem="0"/>
    <dataField name="Suma de PTSPP" fld="29" baseField="0" baseItem="0"/>
    <dataField name="Suma de 3PA" fld="12" baseField="0" baseItem="0"/>
    <dataField name="Suma de 3P" fld="11" baseField="0" baseItem="0"/>
    <dataField name="Suma de FG" fld="8" baseField="0" baseItem="0"/>
    <dataField name="Suma de FGA" fld="9" baseField="0" baseItem="0"/>
    <dataField name="Suma de FT" fld="18" baseField="0" baseItem="0"/>
    <dataField name="Suma de FTA" fld="19" baseField="0" baseItem="0"/>
    <dataField name="Suma de ORB" fld="21" baseField="0" baseItem="0"/>
    <dataField name="Suma de DRB" fld="22" baseField="0" baseItem="0"/>
    <dataField name="Suma de TRB" fld="23" baseField="0" baseItem="0"/>
    <dataField name="Suma de AST" fld="24" baseField="0" baseItem="0"/>
    <dataField name="Suma de STL" fld="25" baseField="0" baseItem="0"/>
    <dataField name="Suma de BLK" fld="26" baseField="0" baseItem="0"/>
    <dataField name="Suma de TOV" fld="27" baseField="0" baseItem="0"/>
    <dataField name="Suma de PF" fld="28" baseField="0" baseItem="0"/>
  </dataFields>
  <formats count="5">
    <format dxfId="172">
      <pivotArea type="all" dataOnly="0" outline="0" fieldPosition="0"/>
    </format>
    <format dxfId="171">
      <pivotArea outline="0" collapsedLevelsAreSubtotals="1" fieldPosition="0"/>
    </format>
    <format dxfId="170">
      <pivotArea field="1" type="button" dataOnly="0" labelOnly="1" outline="0" axis="axisRow" fieldPosition="0"/>
    </format>
    <format dxfId="169">
      <pivotArea dataOnly="0" labelOnly="1" fieldPosition="0">
        <references count="1">
          <reference field="1" count="10">
            <x v="16"/>
            <x v="69"/>
            <x v="115"/>
            <x v="131"/>
            <x v="178"/>
            <x v="189"/>
            <x v="210"/>
            <x v="274"/>
            <x v="345"/>
            <x v="394"/>
          </reference>
        </references>
      </pivotArea>
    </format>
    <format dxfId="168">
      <pivotArea dataOnly="0" labelOnly="1" outline="0" fieldPosition="0">
        <references count="1">
          <reference field="4294967294" count="16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</reference>
        </references>
      </pivotArea>
    </format>
  </formats>
  <pivotTableStyleInfo name="PivotStyleMedium16" showRowHeaders="1" showColHeaders="1" showRowStripes="0" showColStripes="0" showLastColumn="1"/>
  <filters count="1">
    <filter fld="1" type="count" evalOrder="-1" id="1" iMeasureFld="1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D2103E-24B1-445D-8C39-77BAF7E8C902}" name="TablaDinámica3" cacheId="92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B2:K32" firstHeaderRow="0" firstDataRow="1" firstDataCol="1"/>
  <pivotFields count="32">
    <pivotField subtotalTop="0" showAll="0"/>
    <pivotField axis="axisRow" subtotalTop="0" showAll="0">
      <items count="514">
        <item x="236"/>
        <item x="394"/>
        <item x="106"/>
        <item x="363"/>
        <item x="197"/>
        <item x="194"/>
        <item x="458"/>
        <item x="441"/>
        <item x="453"/>
        <item x="459"/>
        <item x="272"/>
        <item x="209"/>
        <item x="273"/>
        <item x="302"/>
        <item x="507"/>
        <item x="447"/>
        <item x="435"/>
        <item x="132"/>
        <item x="322"/>
        <item x="54"/>
        <item x="133"/>
        <item x="160"/>
        <item x="251"/>
        <item x="366"/>
        <item x="156"/>
        <item x="81"/>
        <item x="66"/>
        <item x="218"/>
        <item x="10"/>
        <item x="17"/>
        <item x="421"/>
        <item x="340"/>
        <item x="442"/>
        <item x="456"/>
        <item x="247"/>
        <item x="58"/>
        <item x="119"/>
        <item x="77"/>
        <item x="483"/>
        <item x="307"/>
        <item x="294"/>
        <item x="74"/>
        <item x="114"/>
        <item x="354"/>
        <item x="101"/>
        <item x="152"/>
        <item x="380"/>
        <item x="238"/>
        <item x="59"/>
        <item x="488"/>
        <item x="230"/>
        <item x="140"/>
        <item x="244"/>
        <item x="34"/>
        <item x="37"/>
        <item x="367"/>
        <item x="232"/>
        <item x="492"/>
        <item x="126"/>
        <item x="262"/>
        <item x="373"/>
        <item x="470"/>
        <item x="123"/>
        <item x="25"/>
        <item x="434"/>
        <item x="204"/>
        <item x="321"/>
        <item x="371"/>
        <item x="360"/>
        <item x="16"/>
        <item x="199"/>
        <item x="53"/>
        <item x="260"/>
        <item x="138"/>
        <item x="202"/>
        <item x="268"/>
        <item x="327"/>
        <item x="80"/>
        <item x="174"/>
        <item x="420"/>
        <item x="486"/>
        <item x="187"/>
        <item x="102"/>
        <item x="428"/>
        <item x="28"/>
        <item x="189"/>
        <item x="63"/>
        <item x="224"/>
        <item x="369"/>
        <item x="468"/>
        <item x="277"/>
        <item x="510"/>
        <item x="460"/>
        <item x="397"/>
        <item x="65"/>
        <item x="142"/>
        <item x="433"/>
        <item x="413"/>
        <item x="490"/>
        <item x="478"/>
        <item x="498"/>
        <item x="192"/>
        <item x="346"/>
        <item x="173"/>
        <item x="13"/>
        <item x="415"/>
        <item x="120"/>
        <item x="135"/>
        <item x="359"/>
        <item x="511"/>
        <item x="242"/>
        <item x="377"/>
        <item x="337"/>
        <item x="44"/>
        <item x="395"/>
        <item x="332"/>
        <item x="270"/>
        <item x="261"/>
        <item x="8"/>
        <item x="282"/>
        <item x="99"/>
        <item x="47"/>
        <item x="401"/>
        <item x="166"/>
        <item x="89"/>
        <item x="405"/>
        <item x="40"/>
        <item x="107"/>
        <item x="83"/>
        <item x="214"/>
        <item x="181"/>
        <item x="71"/>
        <item x="78"/>
        <item x="14"/>
        <item x="504"/>
        <item x="88"/>
        <item x="104"/>
        <item x="436"/>
        <item x="42"/>
        <item x="475"/>
        <item x="300"/>
        <item x="27"/>
        <item x="172"/>
        <item x="185"/>
        <item x="361"/>
        <item x="210"/>
        <item x="326"/>
        <item x="387"/>
        <item x="279"/>
        <item x="147"/>
        <item x="410"/>
        <item x="451"/>
        <item x="113"/>
        <item x="414"/>
        <item x="264"/>
        <item x="457"/>
        <item x="308"/>
        <item x="56"/>
        <item x="18"/>
        <item x="95"/>
        <item x="345"/>
        <item x="491"/>
        <item x="217"/>
        <item x="348"/>
        <item x="334"/>
        <item x="182"/>
        <item x="215"/>
        <item x="0"/>
        <item x="175"/>
        <item x="70"/>
        <item x="162"/>
        <item x="161"/>
        <item x="178"/>
        <item x="482"/>
        <item x="158"/>
        <item x="501"/>
        <item x="256"/>
        <item x="153"/>
        <item x="411"/>
        <item x="86"/>
        <item x="365"/>
        <item x="267"/>
        <item x="388"/>
        <item x="503"/>
        <item x="125"/>
        <item x="253"/>
        <item x="226"/>
        <item x="293"/>
        <item x="283"/>
        <item x="94"/>
        <item x="38"/>
        <item x="134"/>
        <item x="370"/>
        <item x="462"/>
        <item x="499"/>
        <item x="250"/>
        <item x="69"/>
        <item x="176"/>
        <item x="461"/>
        <item x="379"/>
        <item x="381"/>
        <item x="221"/>
        <item x="228"/>
        <item x="90"/>
        <item x="223"/>
        <item x="496"/>
        <item x="12"/>
        <item x="184"/>
        <item x="50"/>
        <item x="439"/>
        <item x="49"/>
        <item x="383"/>
        <item x="234"/>
        <item x="79"/>
        <item x="39"/>
        <item x="191"/>
        <item x="344"/>
        <item x="51"/>
        <item x="320"/>
        <item x="35"/>
        <item x="450"/>
        <item x="286"/>
        <item x="284"/>
        <item x="269"/>
        <item x="315"/>
        <item x="91"/>
        <item x="472"/>
        <item x="31"/>
        <item x="109"/>
        <item x="289"/>
        <item x="291"/>
        <item x="206"/>
        <item x="19"/>
        <item x="473"/>
        <item x="220"/>
        <item x="137"/>
        <item x="339"/>
        <item x="429"/>
        <item x="5"/>
        <item x="452"/>
        <item x="467"/>
        <item x="423"/>
        <item x="389"/>
        <item x="400"/>
        <item x="93"/>
        <item x="266"/>
        <item x="105"/>
        <item x="444"/>
        <item x="352"/>
        <item x="372"/>
        <item x="68"/>
        <item x="390"/>
        <item x="508"/>
        <item x="21"/>
        <item x="64"/>
        <item x="404"/>
        <item x="402"/>
        <item x="407"/>
        <item x="248"/>
        <item x="136"/>
        <item x="297"/>
        <item x="72"/>
        <item x="316"/>
        <item x="73"/>
        <item x="146"/>
        <item x="427"/>
        <item x="292"/>
        <item x="36"/>
        <item x="446"/>
        <item x="163"/>
        <item x="509"/>
        <item x="131"/>
        <item x="243"/>
        <item x="96"/>
        <item x="375"/>
        <item x="259"/>
        <item x="353"/>
        <item x="124"/>
        <item x="329"/>
        <item x="128"/>
        <item x="335"/>
        <item x="200"/>
        <item x="46"/>
        <item x="149"/>
        <item x="432"/>
        <item x="505"/>
        <item x="208"/>
        <item x="426"/>
        <item x="15"/>
        <item x="480"/>
        <item x="331"/>
        <item x="139"/>
        <item x="122"/>
        <item x="312"/>
        <item x="246"/>
        <item x="115"/>
        <item x="278"/>
        <item x="193"/>
        <item x="263"/>
        <item x="240"/>
        <item x="443"/>
        <item x="512"/>
        <item x="7"/>
        <item x="203"/>
        <item x="290"/>
        <item x="183"/>
        <item x="325"/>
        <item x="85"/>
        <item x="108"/>
        <item x="271"/>
        <item x="336"/>
        <item x="100"/>
        <item x="406"/>
        <item x="311"/>
        <item x="252"/>
        <item x="355"/>
        <item x="67"/>
        <item x="318"/>
        <item x="288"/>
        <item x="97"/>
        <item x="347"/>
        <item x="20"/>
        <item x="245"/>
        <item x="3"/>
        <item x="385"/>
        <item x="186"/>
        <item x="52"/>
        <item x="23"/>
        <item x="437"/>
        <item x="422"/>
        <item x="485"/>
        <item x="303"/>
        <item x="310"/>
        <item x="179"/>
        <item x="6"/>
        <item x="356"/>
        <item x="222"/>
        <item x="330"/>
        <item x="464"/>
        <item x="506"/>
        <item x="295"/>
        <item x="98"/>
        <item x="497"/>
        <item x="84"/>
        <item x="76"/>
        <item x="298"/>
        <item x="196"/>
        <item x="445"/>
        <item x="121"/>
        <item x="440"/>
        <item x="324"/>
        <item x="502"/>
        <item x="343"/>
        <item x="319"/>
        <item x="454"/>
        <item x="233"/>
        <item x="287"/>
        <item x="418"/>
        <item x="477"/>
        <item x="351"/>
        <item x="55"/>
        <item x="57"/>
        <item x="227"/>
        <item x="61"/>
        <item x="180"/>
        <item x="349"/>
        <item x="301"/>
        <item x="112"/>
        <item x="386"/>
        <item x="229"/>
        <item x="474"/>
        <item x="378"/>
        <item x="92"/>
        <item x="151"/>
        <item x="117"/>
        <item x="304"/>
        <item x="177"/>
        <item x="190"/>
        <item x="391"/>
        <item x="195"/>
        <item x="376"/>
        <item x="2"/>
        <item x="213"/>
        <item x="45"/>
        <item x="212"/>
        <item x="24"/>
        <item x="165"/>
        <item x="145"/>
        <item x="75"/>
        <item x="419"/>
        <item x="141"/>
        <item x="431"/>
        <item x="393"/>
        <item x="357"/>
        <item x="403"/>
        <item x="118"/>
        <item x="448"/>
        <item x="4"/>
        <item x="48"/>
        <item x="333"/>
        <item x="463"/>
        <item x="430"/>
        <item x="168"/>
        <item x="364"/>
        <item x="82"/>
        <item x="313"/>
        <item x="87"/>
        <item x="317"/>
        <item x="398"/>
        <item x="211"/>
        <item x="481"/>
        <item x="487"/>
        <item x="306"/>
        <item x="170"/>
        <item x="285"/>
        <item x="399"/>
        <item x="471"/>
        <item x="384"/>
        <item x="495"/>
        <item x="382"/>
        <item x="358"/>
        <item x="392"/>
        <item x="296"/>
        <item x="500"/>
        <item x="26"/>
        <item x="362"/>
        <item x="258"/>
        <item x="281"/>
        <item x="159"/>
        <item x="164"/>
        <item x="129"/>
        <item x="130"/>
        <item x="276"/>
        <item x="341"/>
        <item x="231"/>
        <item x="254"/>
        <item x="338"/>
        <item x="111"/>
        <item x="143"/>
        <item x="43"/>
        <item x="155"/>
        <item x="314"/>
        <item x="62"/>
        <item x="1"/>
        <item x="255"/>
        <item x="465"/>
        <item x="274"/>
        <item x="201"/>
        <item x="494"/>
        <item x="493"/>
        <item x="32"/>
        <item x="150"/>
        <item x="408"/>
        <item x="235"/>
        <item x="154"/>
        <item x="412"/>
        <item x="275"/>
        <item x="144"/>
        <item x="241"/>
        <item x="328"/>
        <item x="396"/>
        <item x="280"/>
        <item x="455"/>
        <item x="127"/>
        <item x="342"/>
        <item x="323"/>
        <item x="169"/>
        <item x="110"/>
        <item x="257"/>
        <item x="198"/>
        <item x="30"/>
        <item x="219"/>
        <item x="374"/>
        <item x="103"/>
        <item x="225"/>
        <item x="207"/>
        <item x="305"/>
        <item x="476"/>
        <item x="417"/>
        <item x="249"/>
        <item x="41"/>
        <item x="205"/>
        <item x="425"/>
        <item x="484"/>
        <item x="489"/>
        <item x="171"/>
        <item x="22"/>
        <item x="416"/>
        <item x="438"/>
        <item x="60"/>
        <item x="265"/>
        <item x="11"/>
        <item x="409"/>
        <item x="116"/>
        <item x="479"/>
        <item x="239"/>
        <item x="9"/>
        <item x="309"/>
        <item x="368"/>
        <item x="424"/>
        <item x="167"/>
        <item x="237"/>
        <item x="350"/>
        <item x="469"/>
        <item x="449"/>
        <item x="188"/>
        <item x="157"/>
        <item x="299"/>
        <item x="148"/>
        <item x="33"/>
        <item x="466"/>
        <item x="216"/>
        <item x="29"/>
        <item t="default"/>
      </items>
    </pivotField>
    <pivotField subtotalTop="0" showAll="0"/>
    <pivotField axis="axisRow" subtotalTop="0" showAll="0">
      <items count="32">
        <item h="1" sd="0" x="30"/>
        <item sd="0" x="21"/>
        <item sd="0" x="5"/>
        <item sd="0" x="13"/>
        <item sd="0" x="24"/>
        <item sd="0" x="3"/>
        <item sd="0" x="19"/>
        <item sd="0" x="6"/>
        <item sd="0" x="2"/>
        <item sd="0" x="17"/>
        <item sd="0" x="23"/>
        <item sd="0" x="27"/>
        <item sd="0" x="26"/>
        <item sd="0" x="16"/>
        <item sd="0" x="10"/>
        <item sd="0" x="22"/>
        <item sd="0" x="15"/>
        <item sd="0" x="0"/>
        <item sd="0" x="14"/>
        <item sd="0" x="20"/>
        <item sd="0" x="12"/>
        <item sd="0" x="1"/>
        <item sd="0" x="4"/>
        <item sd="0" x="11"/>
        <item sd="0" x="7"/>
        <item sd="0" x="29"/>
        <item sd="0" x="8"/>
        <item sd="0" x="9"/>
        <item sd="0" x="18"/>
        <item sd="0" x="28"/>
        <item sd="0" x="25"/>
        <item t="default" sd="0"/>
      </items>
    </pivotField>
    <pivotField subtotalTop="0" showAll="0"/>
    <pivotField subtotalTop="0" showAll="0"/>
    <pivotField subtotalTop="0" showAll="0"/>
    <pivotField subtotalTop="0" showAll="0"/>
    <pivotField dataField="1" subtotalTop="0" showAll="0"/>
    <pivotField subtotalTop="0" showAll="0"/>
    <pivotField dataField="1" numFmtId="164" subtotalTop="0" showAll="0"/>
    <pivotField dataField="1" subtotalTop="0" showAll="0"/>
    <pivotField subtotalTop="0" showAll="0"/>
    <pivotField dataField="1" numFmtId="164" subtotalTop="0" showAll="0"/>
    <pivotField subtotalTop="0" showAll="0"/>
    <pivotField subtotalTop="0" showAll="0"/>
    <pivotField subtotalTop="0" showAll="0"/>
    <pivotField numFmtId="164" subtotalTop="0" showAll="0"/>
    <pivotField subtotalTop="0" showAll="0"/>
    <pivotField subtotalTop="0" showAll="0"/>
    <pivotField numFmtId="164" subtotalTop="0" showAll="0"/>
    <pivotField dataField="1" subtotalTop="0" showAll="0"/>
    <pivotField dataField="1" subtotalTop="0" showAll="0"/>
    <pivotField dataField="1" subtotalTop="0" showAll="0"/>
    <pivotField dataField="1"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subtotalTop="0" dragToRow="0" dragToCol="0" dragToPage="0" showAll="0"/>
    <pivotField subtotalTop="0" dragToRow="0" dragToCol="0" dragToPage="0" showAll="0"/>
  </pivotFields>
  <rowFields count="2">
    <field x="3"/>
    <field x="1"/>
  </rowFields>
  <rowItems count="3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a de PTSPP" fld="29" baseField="3" baseItem="1"/>
    <dataField name="Suma de FG" fld="8" baseField="0" baseItem="0"/>
    <dataField name="Promedio de FG%" fld="10" subtotal="average" baseField="3" baseItem="1" numFmtId="164"/>
    <dataField name="Suma de 3P" fld="11" baseField="0" baseItem="0"/>
    <dataField name="Promedio de 3P%" fld="13" subtotal="average" baseField="3" baseItem="1" numFmtId="10"/>
    <dataField name="Suma de AST" fld="24" baseField="0" baseItem="0"/>
    <dataField name="Suma de ORB" fld="21" baseField="0" baseItem="0"/>
    <dataField name="Suma de DRB" fld="22" baseField="0" baseItem="0"/>
    <dataField name="Suma de TRB" fld="23" baseField="0" baseItem="0"/>
  </dataFields>
  <formats count="9">
    <format dxfId="159">
      <pivotArea collapsedLevelsAreSubtotals="1" fieldPosition="0">
        <references count="1">
          <reference field="3" count="1">
            <x v="1"/>
          </reference>
        </references>
      </pivotArea>
    </format>
    <format dxfId="160">
      <pivotArea collapsedLevelsAreSubtotals="1" fieldPosition="0">
        <references count="2">
          <reference field="4294967294" count="1" selected="0">
            <x v="2"/>
          </reference>
          <reference field="3" count="1">
            <x v="1"/>
          </reference>
        </references>
      </pivotArea>
    </format>
    <format dxfId="161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62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63">
      <pivotArea type="all" dataOnly="0" outline="0" fieldPosition="0"/>
    </format>
    <format dxfId="164">
      <pivotArea outline="0" collapsedLevelsAreSubtotals="1" fieldPosition="0"/>
    </format>
    <format dxfId="165">
      <pivotArea field="3" type="button" dataOnly="0" labelOnly="1" outline="0" axis="axisRow" fieldPosition="0"/>
    </format>
    <format dxfId="166">
      <pivotArea dataOnly="0" labelOnly="1" fieldPosition="0">
        <references count="1">
          <reference field="3" count="0"/>
        </references>
      </pivotArea>
    </format>
    <format dxfId="16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pivotTableStyleInfo name="PivotStyleMedium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29F69F-E704-4A0C-A124-C9800D28A5B4}" name="TablaDinámica5" cacheId="92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B4:C14" firstHeaderRow="1" firstDataRow="1" firstDataCol="1" rowPageCount="2" colPageCount="1"/>
  <pivotFields count="32">
    <pivotField showAll="0"/>
    <pivotField axis="axisRow" showAll="0" measureFilter="1">
      <items count="514">
        <item x="236"/>
        <item x="394"/>
        <item x="106"/>
        <item x="363"/>
        <item x="197"/>
        <item x="194"/>
        <item x="458"/>
        <item x="441"/>
        <item x="453"/>
        <item x="459"/>
        <item x="272"/>
        <item x="209"/>
        <item x="273"/>
        <item x="302"/>
        <item x="507"/>
        <item x="447"/>
        <item x="435"/>
        <item x="132"/>
        <item x="322"/>
        <item x="54"/>
        <item x="133"/>
        <item x="160"/>
        <item x="251"/>
        <item x="366"/>
        <item x="156"/>
        <item x="81"/>
        <item x="66"/>
        <item x="218"/>
        <item x="10"/>
        <item x="17"/>
        <item x="421"/>
        <item x="340"/>
        <item x="442"/>
        <item x="456"/>
        <item x="247"/>
        <item x="58"/>
        <item x="119"/>
        <item x="77"/>
        <item x="483"/>
        <item x="307"/>
        <item x="294"/>
        <item x="74"/>
        <item x="114"/>
        <item x="354"/>
        <item x="101"/>
        <item x="152"/>
        <item x="380"/>
        <item x="238"/>
        <item x="59"/>
        <item x="488"/>
        <item x="230"/>
        <item x="140"/>
        <item x="244"/>
        <item x="34"/>
        <item x="37"/>
        <item x="367"/>
        <item x="232"/>
        <item x="492"/>
        <item x="126"/>
        <item x="262"/>
        <item x="373"/>
        <item x="470"/>
        <item x="123"/>
        <item x="25"/>
        <item x="434"/>
        <item x="204"/>
        <item x="321"/>
        <item x="371"/>
        <item x="360"/>
        <item x="16"/>
        <item x="199"/>
        <item x="53"/>
        <item x="260"/>
        <item x="138"/>
        <item x="202"/>
        <item x="268"/>
        <item x="327"/>
        <item x="80"/>
        <item x="174"/>
        <item x="420"/>
        <item x="486"/>
        <item x="187"/>
        <item x="102"/>
        <item x="428"/>
        <item x="28"/>
        <item x="189"/>
        <item x="63"/>
        <item x="224"/>
        <item x="369"/>
        <item x="468"/>
        <item x="277"/>
        <item x="510"/>
        <item x="460"/>
        <item x="397"/>
        <item x="65"/>
        <item x="142"/>
        <item x="433"/>
        <item x="413"/>
        <item x="490"/>
        <item x="478"/>
        <item x="498"/>
        <item x="192"/>
        <item x="346"/>
        <item x="173"/>
        <item x="13"/>
        <item x="415"/>
        <item x="120"/>
        <item x="135"/>
        <item x="359"/>
        <item x="511"/>
        <item x="242"/>
        <item x="377"/>
        <item x="337"/>
        <item x="44"/>
        <item x="395"/>
        <item x="332"/>
        <item x="270"/>
        <item x="261"/>
        <item x="8"/>
        <item x="282"/>
        <item x="99"/>
        <item x="47"/>
        <item x="401"/>
        <item x="166"/>
        <item x="89"/>
        <item x="405"/>
        <item x="40"/>
        <item x="107"/>
        <item x="83"/>
        <item x="214"/>
        <item x="181"/>
        <item x="71"/>
        <item x="78"/>
        <item x="14"/>
        <item x="504"/>
        <item x="88"/>
        <item x="104"/>
        <item x="436"/>
        <item x="42"/>
        <item x="475"/>
        <item x="300"/>
        <item x="27"/>
        <item x="172"/>
        <item x="185"/>
        <item x="361"/>
        <item x="210"/>
        <item x="326"/>
        <item x="387"/>
        <item x="279"/>
        <item x="147"/>
        <item x="410"/>
        <item x="451"/>
        <item x="113"/>
        <item x="414"/>
        <item x="264"/>
        <item x="457"/>
        <item x="308"/>
        <item x="56"/>
        <item x="18"/>
        <item x="95"/>
        <item x="345"/>
        <item x="491"/>
        <item x="217"/>
        <item x="348"/>
        <item x="334"/>
        <item x="182"/>
        <item x="215"/>
        <item x="0"/>
        <item x="175"/>
        <item x="70"/>
        <item x="162"/>
        <item x="161"/>
        <item x="178"/>
        <item x="482"/>
        <item x="158"/>
        <item x="501"/>
        <item x="256"/>
        <item x="153"/>
        <item x="411"/>
        <item x="86"/>
        <item x="365"/>
        <item x="267"/>
        <item x="388"/>
        <item x="503"/>
        <item x="125"/>
        <item x="253"/>
        <item x="226"/>
        <item x="293"/>
        <item x="283"/>
        <item x="94"/>
        <item x="38"/>
        <item x="134"/>
        <item x="370"/>
        <item x="462"/>
        <item x="499"/>
        <item x="250"/>
        <item x="69"/>
        <item x="176"/>
        <item x="461"/>
        <item x="379"/>
        <item x="381"/>
        <item x="221"/>
        <item x="228"/>
        <item x="90"/>
        <item x="223"/>
        <item x="496"/>
        <item x="12"/>
        <item x="184"/>
        <item x="50"/>
        <item x="439"/>
        <item x="49"/>
        <item x="383"/>
        <item x="234"/>
        <item x="79"/>
        <item x="39"/>
        <item x="191"/>
        <item x="344"/>
        <item x="51"/>
        <item x="320"/>
        <item x="35"/>
        <item x="450"/>
        <item x="286"/>
        <item x="284"/>
        <item x="269"/>
        <item x="315"/>
        <item x="91"/>
        <item x="472"/>
        <item x="31"/>
        <item x="109"/>
        <item x="289"/>
        <item x="291"/>
        <item x="206"/>
        <item x="19"/>
        <item x="473"/>
        <item x="220"/>
        <item x="137"/>
        <item x="339"/>
        <item x="429"/>
        <item x="5"/>
        <item x="452"/>
        <item x="467"/>
        <item x="423"/>
        <item x="389"/>
        <item x="400"/>
        <item x="93"/>
        <item x="266"/>
        <item x="105"/>
        <item x="444"/>
        <item x="352"/>
        <item x="372"/>
        <item x="68"/>
        <item x="390"/>
        <item x="508"/>
        <item x="21"/>
        <item x="64"/>
        <item x="404"/>
        <item x="402"/>
        <item x="407"/>
        <item x="248"/>
        <item x="136"/>
        <item x="297"/>
        <item x="72"/>
        <item x="316"/>
        <item x="73"/>
        <item x="146"/>
        <item x="427"/>
        <item x="292"/>
        <item x="36"/>
        <item x="446"/>
        <item x="163"/>
        <item x="509"/>
        <item x="131"/>
        <item x="243"/>
        <item x="96"/>
        <item x="375"/>
        <item x="259"/>
        <item x="353"/>
        <item x="124"/>
        <item x="329"/>
        <item x="128"/>
        <item x="335"/>
        <item x="200"/>
        <item x="46"/>
        <item x="149"/>
        <item x="432"/>
        <item x="505"/>
        <item x="208"/>
        <item x="426"/>
        <item x="15"/>
        <item x="480"/>
        <item x="331"/>
        <item x="139"/>
        <item x="122"/>
        <item x="312"/>
        <item x="246"/>
        <item x="115"/>
        <item x="278"/>
        <item x="193"/>
        <item x="263"/>
        <item x="240"/>
        <item x="443"/>
        <item x="512"/>
        <item x="7"/>
        <item x="203"/>
        <item x="290"/>
        <item x="183"/>
        <item x="325"/>
        <item x="85"/>
        <item x="108"/>
        <item x="271"/>
        <item x="336"/>
        <item x="100"/>
        <item x="406"/>
        <item x="311"/>
        <item x="252"/>
        <item x="355"/>
        <item x="67"/>
        <item x="318"/>
        <item x="288"/>
        <item x="97"/>
        <item x="347"/>
        <item x="20"/>
        <item x="245"/>
        <item x="3"/>
        <item x="385"/>
        <item x="186"/>
        <item x="52"/>
        <item x="23"/>
        <item x="437"/>
        <item x="422"/>
        <item x="485"/>
        <item x="303"/>
        <item x="310"/>
        <item x="179"/>
        <item x="6"/>
        <item x="356"/>
        <item x="222"/>
        <item x="330"/>
        <item x="464"/>
        <item x="506"/>
        <item x="295"/>
        <item x="98"/>
        <item x="497"/>
        <item x="84"/>
        <item x="76"/>
        <item x="298"/>
        <item x="196"/>
        <item x="445"/>
        <item x="121"/>
        <item x="440"/>
        <item x="324"/>
        <item x="502"/>
        <item x="343"/>
        <item x="319"/>
        <item x="454"/>
        <item x="233"/>
        <item x="287"/>
        <item x="418"/>
        <item x="477"/>
        <item x="351"/>
        <item x="55"/>
        <item x="57"/>
        <item x="227"/>
        <item x="61"/>
        <item x="180"/>
        <item x="349"/>
        <item x="301"/>
        <item x="112"/>
        <item x="386"/>
        <item x="229"/>
        <item x="474"/>
        <item x="378"/>
        <item x="92"/>
        <item x="151"/>
        <item x="117"/>
        <item x="304"/>
        <item x="177"/>
        <item x="190"/>
        <item x="391"/>
        <item x="195"/>
        <item x="376"/>
        <item x="2"/>
        <item x="213"/>
        <item x="45"/>
        <item x="212"/>
        <item x="24"/>
        <item x="165"/>
        <item x="145"/>
        <item x="75"/>
        <item x="419"/>
        <item x="141"/>
        <item x="431"/>
        <item x="393"/>
        <item x="357"/>
        <item x="403"/>
        <item x="118"/>
        <item x="448"/>
        <item x="4"/>
        <item x="48"/>
        <item x="333"/>
        <item x="463"/>
        <item x="430"/>
        <item x="168"/>
        <item x="364"/>
        <item x="82"/>
        <item x="313"/>
        <item x="87"/>
        <item x="317"/>
        <item x="398"/>
        <item x="211"/>
        <item x="481"/>
        <item x="487"/>
        <item x="306"/>
        <item x="170"/>
        <item x="285"/>
        <item x="399"/>
        <item x="471"/>
        <item x="384"/>
        <item x="495"/>
        <item x="382"/>
        <item x="358"/>
        <item x="392"/>
        <item x="296"/>
        <item x="500"/>
        <item x="26"/>
        <item x="362"/>
        <item x="258"/>
        <item x="281"/>
        <item x="159"/>
        <item x="164"/>
        <item x="129"/>
        <item x="130"/>
        <item x="276"/>
        <item x="341"/>
        <item x="231"/>
        <item x="254"/>
        <item x="338"/>
        <item x="111"/>
        <item x="143"/>
        <item x="43"/>
        <item x="155"/>
        <item x="314"/>
        <item x="62"/>
        <item x="1"/>
        <item x="255"/>
        <item x="465"/>
        <item x="274"/>
        <item x="201"/>
        <item x="494"/>
        <item x="493"/>
        <item x="32"/>
        <item x="150"/>
        <item x="408"/>
        <item x="235"/>
        <item x="154"/>
        <item x="412"/>
        <item x="275"/>
        <item x="144"/>
        <item x="241"/>
        <item x="328"/>
        <item x="396"/>
        <item x="280"/>
        <item x="455"/>
        <item x="127"/>
        <item x="342"/>
        <item x="323"/>
        <item x="169"/>
        <item x="110"/>
        <item x="257"/>
        <item x="198"/>
        <item x="30"/>
        <item x="219"/>
        <item x="374"/>
        <item x="103"/>
        <item x="225"/>
        <item x="207"/>
        <item x="305"/>
        <item x="476"/>
        <item x="417"/>
        <item x="249"/>
        <item x="41"/>
        <item x="205"/>
        <item x="425"/>
        <item x="484"/>
        <item x="489"/>
        <item x="171"/>
        <item x="22"/>
        <item x="416"/>
        <item x="438"/>
        <item x="60"/>
        <item x="265"/>
        <item x="11"/>
        <item x="409"/>
        <item x="116"/>
        <item x="479"/>
        <item x="239"/>
        <item x="9"/>
        <item x="309"/>
        <item x="368"/>
        <item x="424"/>
        <item x="167"/>
        <item x="237"/>
        <item x="350"/>
        <item x="469"/>
        <item x="449"/>
        <item x="188"/>
        <item x="157"/>
        <item x="299"/>
        <item x="148"/>
        <item x="33"/>
        <item x="466"/>
        <item x="216"/>
        <item x="29"/>
        <item t="default"/>
      </items>
    </pivotField>
    <pivotField showAll="0"/>
    <pivotField axis="axisPage" multipleItemSelectionAllowed="1" showAll="0">
      <items count="32">
        <item x="30"/>
        <item x="21"/>
        <item x="5"/>
        <item x="13"/>
        <item x="24"/>
        <item x="3"/>
        <item x="19"/>
        <item x="6"/>
        <item x="2"/>
        <item x="17"/>
        <item x="23"/>
        <item x="27"/>
        <item x="26"/>
        <item x="16"/>
        <item x="10"/>
        <item x="22"/>
        <item x="15"/>
        <item x="0"/>
        <item x="14"/>
        <item x="20"/>
        <item x="12"/>
        <item x="1"/>
        <item x="4"/>
        <item x="11"/>
        <item x="7"/>
        <item x="29"/>
        <item x="8"/>
        <item x="9"/>
        <item x="18"/>
        <item x="28"/>
        <item x="25"/>
        <item t="default"/>
      </items>
    </pivotField>
    <pivotField axis="axisPage" showAll="0">
      <items count="6">
        <item x="2"/>
        <item x="0"/>
        <item x="1"/>
        <item x="4"/>
        <item x="3"/>
        <item t="default"/>
      </items>
    </pivotField>
    <pivotField showAll="0"/>
    <pivotField showAll="0"/>
    <pivotField showAll="0"/>
    <pivotField showAll="0"/>
    <pivotField showAll="0"/>
    <pivotField numFmtId="164" showAll="0"/>
    <pivotField showAll="0"/>
    <pivotField showAll="0"/>
    <pivotField numFmtId="164" showAll="0"/>
    <pivotField showAll="0"/>
    <pivotField showAll="0"/>
    <pivotField showAll="0"/>
    <pivotField numFmtId="164"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dragToRow="0" dragToCol="0" dragToPage="0" showAll="0" defaultSubtotal="0"/>
    <pivotField dragToRow="0" dragToCol="0" dragToPage="0" showAll="0" defaultSubtotal="0"/>
  </pivotFields>
  <rowFields count="1">
    <field x="1"/>
  </rowFields>
  <rowItems count="10">
    <i>
      <x v="28"/>
    </i>
    <i>
      <x v="167"/>
    </i>
    <i>
      <x v="238"/>
    </i>
    <i>
      <x v="288"/>
    </i>
    <i>
      <x v="323"/>
    </i>
    <i>
      <x v="334"/>
    </i>
    <i>
      <x v="381"/>
    </i>
    <i>
      <x v="397"/>
    </i>
    <i>
      <x v="443"/>
    </i>
    <i>
      <x v="496"/>
    </i>
  </rowItems>
  <colItems count="1">
    <i/>
  </colItems>
  <pageFields count="2">
    <pageField fld="3" hier="-1"/>
    <pageField fld="4" hier="-1"/>
  </pageFields>
  <dataFields count="1">
    <dataField name="Suma de Eficiencia" fld="30" baseField="1" baseItem="0" numFmtId="164"/>
  </dataFields>
  <formats count="5">
    <format dxfId="158">
      <pivotArea type="all" dataOnly="0" outline="0" fieldPosition="0"/>
    </format>
    <format dxfId="157">
      <pivotArea outline="0" collapsedLevelsAreSubtotals="1" fieldPosition="0"/>
    </format>
    <format dxfId="156">
      <pivotArea field="1" type="button" dataOnly="0" labelOnly="1" outline="0" axis="axisRow" fieldPosition="0"/>
    </format>
    <format dxfId="155">
      <pivotArea dataOnly="0" labelOnly="1" fieldPosition="0">
        <references count="1">
          <reference field="1" count="10">
            <x v="28"/>
            <x v="167"/>
            <x v="238"/>
            <x v="288"/>
            <x v="323"/>
            <x v="334"/>
            <x v="381"/>
            <x v="397"/>
            <x v="443"/>
            <x v="496"/>
          </reference>
        </references>
      </pivotArea>
    </format>
    <format dxfId="154">
      <pivotArea dataOnly="0" labelOnly="1" outline="0" axis="axisValues" fieldPosition="0"/>
    </format>
  </formats>
  <pivotTableStyleInfo name="PivotStyleMedium17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DEF7FC-44E8-4EC6-976D-3E38FDF7E0DE}" name="TablaDinámica7" cacheId="9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5:D21" firstHeaderRow="0" firstDataRow="1" firstDataCol="1"/>
  <pivotFields count="32">
    <pivotField showAll="0"/>
    <pivotField axis="axisRow" showAll="0">
      <items count="514">
        <item x="236"/>
        <item x="394"/>
        <item x="106"/>
        <item x="363"/>
        <item x="197"/>
        <item x="194"/>
        <item x="458"/>
        <item x="441"/>
        <item x="453"/>
        <item x="459"/>
        <item x="272"/>
        <item x="209"/>
        <item x="273"/>
        <item x="302"/>
        <item x="507"/>
        <item x="447"/>
        <item x="435"/>
        <item x="132"/>
        <item x="322"/>
        <item x="54"/>
        <item x="133"/>
        <item x="160"/>
        <item x="251"/>
        <item x="366"/>
        <item x="156"/>
        <item x="81"/>
        <item x="66"/>
        <item x="218"/>
        <item x="10"/>
        <item x="17"/>
        <item x="421"/>
        <item x="340"/>
        <item x="442"/>
        <item x="456"/>
        <item x="247"/>
        <item x="58"/>
        <item x="119"/>
        <item x="77"/>
        <item h="1" x="483"/>
        <item x="307"/>
        <item x="294"/>
        <item x="74"/>
        <item x="114"/>
        <item x="354"/>
        <item x="101"/>
        <item x="152"/>
        <item x="380"/>
        <item x="238"/>
        <item x="59"/>
        <item x="488"/>
        <item x="230"/>
        <item x="140"/>
        <item x="244"/>
        <item x="34"/>
        <item x="37"/>
        <item x="367"/>
        <item x="232"/>
        <item x="492"/>
        <item x="126"/>
        <item x="262"/>
        <item x="373"/>
        <item x="470"/>
        <item x="123"/>
        <item x="25"/>
        <item x="434"/>
        <item x="204"/>
        <item x="321"/>
        <item x="371"/>
        <item x="360"/>
        <item x="16"/>
        <item x="199"/>
        <item x="53"/>
        <item x="260"/>
        <item x="138"/>
        <item x="202"/>
        <item x="268"/>
        <item x="327"/>
        <item x="80"/>
        <item x="174"/>
        <item x="420"/>
        <item x="486"/>
        <item x="187"/>
        <item x="102"/>
        <item x="428"/>
        <item x="28"/>
        <item x="189"/>
        <item x="63"/>
        <item x="224"/>
        <item x="369"/>
        <item x="468"/>
        <item x="277"/>
        <item x="510"/>
        <item x="460"/>
        <item x="397"/>
        <item x="65"/>
        <item x="142"/>
        <item x="433"/>
        <item x="413"/>
        <item x="490"/>
        <item x="478"/>
        <item x="498"/>
        <item x="192"/>
        <item x="346"/>
        <item x="173"/>
        <item x="13"/>
        <item x="415"/>
        <item x="120"/>
        <item x="135"/>
        <item x="359"/>
        <item x="511"/>
        <item x="242"/>
        <item x="377"/>
        <item x="337"/>
        <item x="44"/>
        <item x="395"/>
        <item h="1" x="332"/>
        <item x="270"/>
        <item x="261"/>
        <item x="8"/>
        <item x="282"/>
        <item x="99"/>
        <item x="47"/>
        <item x="401"/>
        <item x="166"/>
        <item x="89"/>
        <item x="405"/>
        <item x="40"/>
        <item x="107"/>
        <item x="83"/>
        <item x="214"/>
        <item x="181"/>
        <item x="71"/>
        <item x="78"/>
        <item x="14"/>
        <item x="504"/>
        <item x="88"/>
        <item x="104"/>
        <item x="436"/>
        <item x="42"/>
        <item x="475"/>
        <item x="300"/>
        <item x="27"/>
        <item x="172"/>
        <item x="185"/>
        <item x="361"/>
        <item x="210"/>
        <item x="326"/>
        <item x="387"/>
        <item x="279"/>
        <item x="147"/>
        <item x="410"/>
        <item x="451"/>
        <item x="113"/>
        <item x="414"/>
        <item x="264"/>
        <item x="457"/>
        <item x="308"/>
        <item x="56"/>
        <item x="18"/>
        <item x="95"/>
        <item x="345"/>
        <item x="491"/>
        <item x="217"/>
        <item x="348"/>
        <item x="334"/>
        <item x="182"/>
        <item x="215"/>
        <item x="0"/>
        <item x="175"/>
        <item x="70"/>
        <item x="162"/>
        <item x="161"/>
        <item x="178"/>
        <item x="482"/>
        <item x="158"/>
        <item x="501"/>
        <item x="256"/>
        <item x="153"/>
        <item x="411"/>
        <item x="86"/>
        <item x="365"/>
        <item x="267"/>
        <item x="388"/>
        <item x="503"/>
        <item x="125"/>
        <item x="253"/>
        <item x="226"/>
        <item x="293"/>
        <item x="283"/>
        <item x="94"/>
        <item x="38"/>
        <item x="134"/>
        <item x="370"/>
        <item x="462"/>
        <item x="499"/>
        <item x="250"/>
        <item x="69"/>
        <item x="176"/>
        <item x="461"/>
        <item x="379"/>
        <item x="381"/>
        <item x="221"/>
        <item x="228"/>
        <item x="90"/>
        <item x="223"/>
        <item x="496"/>
        <item x="12"/>
        <item x="184"/>
        <item x="50"/>
        <item x="439"/>
        <item x="49"/>
        <item x="383"/>
        <item x="234"/>
        <item x="79"/>
        <item x="39"/>
        <item x="191"/>
        <item x="344"/>
        <item x="51"/>
        <item x="320"/>
        <item x="35"/>
        <item x="450"/>
        <item x="286"/>
        <item x="284"/>
        <item x="269"/>
        <item x="315"/>
        <item x="91"/>
        <item x="472"/>
        <item x="31"/>
        <item x="109"/>
        <item x="289"/>
        <item x="291"/>
        <item x="206"/>
        <item x="19"/>
        <item x="473"/>
        <item x="220"/>
        <item x="137"/>
        <item x="339"/>
        <item x="429"/>
        <item x="5"/>
        <item x="452"/>
        <item x="467"/>
        <item x="423"/>
        <item x="389"/>
        <item x="400"/>
        <item x="93"/>
        <item x="266"/>
        <item x="105"/>
        <item x="444"/>
        <item x="352"/>
        <item x="372"/>
        <item x="68"/>
        <item x="390"/>
        <item x="508"/>
        <item x="21"/>
        <item x="64"/>
        <item x="404"/>
        <item x="402"/>
        <item x="407"/>
        <item x="248"/>
        <item x="136"/>
        <item x="297"/>
        <item x="72"/>
        <item x="316"/>
        <item x="73"/>
        <item x="146"/>
        <item x="427"/>
        <item x="292"/>
        <item x="36"/>
        <item x="446"/>
        <item x="163"/>
        <item x="509"/>
        <item x="131"/>
        <item x="243"/>
        <item x="96"/>
        <item x="375"/>
        <item x="259"/>
        <item x="353"/>
        <item x="124"/>
        <item x="329"/>
        <item x="128"/>
        <item x="335"/>
        <item x="200"/>
        <item x="46"/>
        <item x="149"/>
        <item x="432"/>
        <item x="505"/>
        <item x="208"/>
        <item x="426"/>
        <item x="15"/>
        <item x="480"/>
        <item x="331"/>
        <item x="139"/>
        <item x="122"/>
        <item x="312"/>
        <item x="246"/>
        <item x="115"/>
        <item x="278"/>
        <item x="193"/>
        <item x="263"/>
        <item x="240"/>
        <item x="443"/>
        <item x="512"/>
        <item x="7"/>
        <item x="203"/>
        <item x="290"/>
        <item x="183"/>
        <item x="325"/>
        <item x="85"/>
        <item x="108"/>
        <item x="271"/>
        <item x="336"/>
        <item x="100"/>
        <item x="406"/>
        <item x="311"/>
        <item x="252"/>
        <item x="355"/>
        <item x="67"/>
        <item x="318"/>
        <item x="288"/>
        <item x="97"/>
        <item x="347"/>
        <item x="20"/>
        <item x="245"/>
        <item x="3"/>
        <item x="385"/>
        <item x="186"/>
        <item x="52"/>
        <item x="23"/>
        <item x="437"/>
        <item x="422"/>
        <item x="485"/>
        <item x="303"/>
        <item x="310"/>
        <item x="179"/>
        <item x="6"/>
        <item x="356"/>
        <item x="222"/>
        <item x="330"/>
        <item x="464"/>
        <item x="506"/>
        <item x="295"/>
        <item x="98"/>
        <item x="497"/>
        <item x="84"/>
        <item x="76"/>
        <item x="298"/>
        <item x="196"/>
        <item x="445"/>
        <item x="121"/>
        <item x="440"/>
        <item x="324"/>
        <item x="502"/>
        <item x="343"/>
        <item x="319"/>
        <item x="454"/>
        <item x="233"/>
        <item x="287"/>
        <item x="418"/>
        <item x="477"/>
        <item x="351"/>
        <item x="55"/>
        <item x="57"/>
        <item x="227"/>
        <item x="61"/>
        <item x="180"/>
        <item x="349"/>
        <item x="301"/>
        <item x="112"/>
        <item x="386"/>
        <item x="229"/>
        <item x="474"/>
        <item x="378"/>
        <item x="92"/>
        <item x="151"/>
        <item x="117"/>
        <item x="304"/>
        <item x="177"/>
        <item x="190"/>
        <item x="391"/>
        <item x="195"/>
        <item x="376"/>
        <item x="2"/>
        <item x="213"/>
        <item x="45"/>
        <item x="212"/>
        <item x="24"/>
        <item x="165"/>
        <item x="145"/>
        <item x="75"/>
        <item x="419"/>
        <item x="141"/>
        <item x="431"/>
        <item x="393"/>
        <item x="357"/>
        <item x="403"/>
        <item x="118"/>
        <item x="448"/>
        <item x="4"/>
        <item x="48"/>
        <item x="333"/>
        <item x="463"/>
        <item x="430"/>
        <item x="168"/>
        <item x="364"/>
        <item x="82"/>
        <item x="313"/>
        <item x="87"/>
        <item x="317"/>
        <item x="398"/>
        <item x="211"/>
        <item x="481"/>
        <item x="487"/>
        <item x="306"/>
        <item x="170"/>
        <item x="285"/>
        <item x="399"/>
        <item x="471"/>
        <item x="384"/>
        <item x="495"/>
        <item x="382"/>
        <item x="358"/>
        <item x="392"/>
        <item x="296"/>
        <item x="500"/>
        <item x="26"/>
        <item x="362"/>
        <item x="258"/>
        <item x="281"/>
        <item x="159"/>
        <item x="164"/>
        <item x="129"/>
        <item x="130"/>
        <item x="276"/>
        <item x="341"/>
        <item x="231"/>
        <item x="254"/>
        <item x="338"/>
        <item x="111"/>
        <item x="143"/>
        <item x="43"/>
        <item x="155"/>
        <item x="314"/>
        <item x="62"/>
        <item x="1"/>
        <item x="255"/>
        <item x="465"/>
        <item x="274"/>
        <item x="201"/>
        <item x="494"/>
        <item x="493"/>
        <item x="32"/>
        <item x="150"/>
        <item x="408"/>
        <item x="235"/>
        <item x="154"/>
        <item x="412"/>
        <item x="275"/>
        <item x="144"/>
        <item x="241"/>
        <item x="328"/>
        <item x="396"/>
        <item x="280"/>
        <item x="455"/>
        <item x="127"/>
        <item x="342"/>
        <item x="323"/>
        <item x="169"/>
        <item x="110"/>
        <item x="257"/>
        <item x="198"/>
        <item x="30"/>
        <item x="219"/>
        <item x="374"/>
        <item x="103"/>
        <item x="225"/>
        <item x="207"/>
        <item x="305"/>
        <item x="476"/>
        <item x="417"/>
        <item x="249"/>
        <item x="41"/>
        <item x="205"/>
        <item x="425"/>
        <item x="484"/>
        <item x="489"/>
        <item x="171"/>
        <item x="22"/>
        <item x="416"/>
        <item x="438"/>
        <item x="60"/>
        <item x="265"/>
        <item x="11"/>
        <item x="409"/>
        <item x="116"/>
        <item x="479"/>
        <item x="239"/>
        <item x="9"/>
        <item x="309"/>
        <item x="368"/>
        <item x="424"/>
        <item x="167"/>
        <item x="237"/>
        <item x="350"/>
        <item x="469"/>
        <item x="449"/>
        <item x="188"/>
        <item x="157"/>
        <item x="299"/>
        <item x="148"/>
        <item x="33"/>
        <item x="466"/>
        <item x="216"/>
        <item x="29"/>
        <item t="default"/>
      </items>
    </pivotField>
    <pivotField showAll="0">
      <items count="23">
        <item x="18"/>
        <item x="17"/>
        <item x="8"/>
        <item x="4"/>
        <item x="3"/>
        <item x="10"/>
        <item x="5"/>
        <item x="1"/>
        <item x="7"/>
        <item x="11"/>
        <item x="2"/>
        <item x="0"/>
        <item x="9"/>
        <item x="13"/>
        <item x="15"/>
        <item x="12"/>
        <item x="16"/>
        <item x="6"/>
        <item x="21"/>
        <item x="20"/>
        <item x="19"/>
        <item x="14"/>
        <item t="default"/>
      </items>
    </pivotField>
    <pivotField axis="axisRow" showAll="0">
      <items count="32">
        <item h="1" x="30"/>
        <item x="21"/>
        <item x="5"/>
        <item h="1" x="13"/>
        <item h="1" x="24"/>
        <item h="1" x="3"/>
        <item h="1" x="19"/>
        <item h="1" x="6"/>
        <item h="1" x="2"/>
        <item h="1" x="17"/>
        <item h="1" x="23"/>
        <item h="1" x="27"/>
        <item h="1" x="26"/>
        <item h="1" x="16"/>
        <item h="1" x="10"/>
        <item h="1" x="22"/>
        <item h="1" x="15"/>
        <item h="1" x="0"/>
        <item h="1" x="14"/>
        <item h="1" x="20"/>
        <item h="1" x="12"/>
        <item h="1" x="1"/>
        <item h="1" x="4"/>
        <item h="1" x="11"/>
        <item h="1" x="7"/>
        <item h="1" x="29"/>
        <item h="1" x="8"/>
        <item h="1" x="9"/>
        <item h="1" x="18"/>
        <item h="1" x="28"/>
        <item h="1" x="25"/>
        <item t="default"/>
      </items>
    </pivotField>
    <pivotField showAll="0">
      <items count="6">
        <item x="2"/>
        <item x="0"/>
        <item h="1" x="1"/>
        <item h="1" x="4"/>
        <item h="1" x="3"/>
        <item t="default"/>
      </items>
    </pivotField>
    <pivotField showAll="0">
      <items count="36">
        <item x="27"/>
        <item x="34"/>
        <item x="31"/>
        <item x="33"/>
        <item x="4"/>
        <item x="15"/>
        <item x="32"/>
        <item x="28"/>
        <item x="30"/>
        <item x="21"/>
        <item x="25"/>
        <item x="13"/>
        <item x="24"/>
        <item x="29"/>
        <item x="22"/>
        <item x="26"/>
        <item x="23"/>
        <item x="16"/>
        <item x="11"/>
        <item x="18"/>
        <item x="20"/>
        <item x="3"/>
        <item x="17"/>
        <item x="19"/>
        <item x="8"/>
        <item x="0"/>
        <item x="9"/>
        <item x="12"/>
        <item x="7"/>
        <item x="2"/>
        <item x="14"/>
        <item x="5"/>
        <item x="10"/>
        <item x="1"/>
        <item x="6"/>
        <item t="default"/>
      </items>
    </pivotField>
    <pivotField showAll="0"/>
    <pivotField showAll="0"/>
    <pivotField showAll="0"/>
    <pivotField showAll="0"/>
    <pivotField numFmtId="164" showAll="0"/>
    <pivotField showAll="0"/>
    <pivotField showAll="0"/>
    <pivotField numFmtId="164" showAll="0"/>
    <pivotField showAll="0"/>
    <pivotField showAll="0"/>
    <pivotField showAll="0"/>
    <pivotField numFmtId="164" showAll="0"/>
    <pivotField showAll="0"/>
    <pivotField showAll="0"/>
    <pivotField numFmtId="164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dragToRow="0" dragToCol="0" dragToPage="0" showAll="0" defaultSubtotal="0"/>
    <pivotField dragToRow="0" dragToCol="0" dragToPage="0" showAll="0" defaultSubtotal="0"/>
  </pivotFields>
  <rowFields count="2">
    <field x="3"/>
    <field x="1"/>
  </rowFields>
  <rowItems count="16">
    <i>
      <x v="1"/>
    </i>
    <i r="1">
      <x v="85"/>
    </i>
    <i r="1">
      <x v="325"/>
    </i>
    <i r="1">
      <x v="370"/>
    </i>
    <i r="1">
      <x v="390"/>
    </i>
    <i>
      <x v="2"/>
    </i>
    <i r="1">
      <x v="11"/>
    </i>
    <i r="1">
      <x v="147"/>
    </i>
    <i r="1">
      <x v="238"/>
    </i>
    <i r="1">
      <x v="268"/>
    </i>
    <i r="1">
      <x v="316"/>
    </i>
    <i r="1">
      <x v="337"/>
    </i>
    <i r="1">
      <x v="375"/>
    </i>
    <i r="1">
      <x v="434"/>
    </i>
    <i r="1">
      <x v="50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PTSPP" fld="29" baseField="0" baseItem="0"/>
    <dataField name="Suma de TRB" fld="23" baseField="0" baseItem="0"/>
    <dataField name="Suma de AST" fld="24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layer" xr10:uid="{623A1684-D518-44C1-822C-7A46CADA1AC9}" sourceName="Player">
  <pivotTables>
    <pivotTable tabId="9" name="TablaDinámica7"/>
  </pivotTables>
  <data>
    <tabular pivotCacheId="59932116">
      <items count="513">
        <i x="209" s="1"/>
        <i x="189" s="1"/>
        <i x="332"/>
        <i x="387" s="1"/>
        <i x="5" s="1"/>
        <i x="446" s="1"/>
        <i x="67" s="1"/>
        <i x="186" s="1"/>
        <i x="330" s="1"/>
        <i x="474" s="1"/>
        <i x="304" s="1"/>
        <i x="141" s="1"/>
        <i x="231" s="1"/>
        <i x="469" s="1"/>
        <i x="236" s="1" nd="1"/>
        <i x="394" s="1" nd="1"/>
        <i x="106" s="1" nd="1"/>
        <i x="363" s="1" nd="1"/>
        <i x="197" s="1" nd="1"/>
        <i x="194" s="1" nd="1"/>
        <i x="458" s="1" nd="1"/>
        <i x="441" s="1" nd="1"/>
        <i x="453" s="1" nd="1"/>
        <i x="459" s="1" nd="1"/>
        <i x="272" s="1" nd="1"/>
        <i x="273" s="1" nd="1"/>
        <i x="302" s="1" nd="1"/>
        <i x="507" s="1" nd="1"/>
        <i x="447" s="1" nd="1"/>
        <i x="435" s="1" nd="1"/>
        <i x="132" s="1" nd="1"/>
        <i x="322" s="1" nd="1"/>
        <i x="54" s="1" nd="1"/>
        <i x="133" s="1" nd="1"/>
        <i x="160" s="1" nd="1"/>
        <i x="251" s="1" nd="1"/>
        <i x="366" s="1" nd="1"/>
        <i x="156" s="1" nd="1"/>
        <i x="81" s="1" nd="1"/>
        <i x="66" s="1" nd="1"/>
        <i x="218" s="1" nd="1"/>
        <i x="10" s="1" nd="1"/>
        <i x="17" s="1" nd="1"/>
        <i x="421" s="1" nd="1"/>
        <i x="340" s="1" nd="1"/>
        <i x="442" s="1" nd="1"/>
        <i x="456" s="1" nd="1"/>
        <i x="247" s="1" nd="1"/>
        <i x="58" s="1" nd="1"/>
        <i x="119" s="1" nd="1"/>
        <i x="77" s="1" nd="1"/>
        <i x="483" nd="1"/>
        <i x="307" s="1" nd="1"/>
        <i x="294" s="1" nd="1"/>
        <i x="74" s="1" nd="1"/>
        <i x="114" s="1" nd="1"/>
        <i x="354" s="1" nd="1"/>
        <i x="101" s="1" nd="1"/>
        <i x="152" s="1" nd="1"/>
        <i x="380" s="1" nd="1"/>
        <i x="238" s="1" nd="1"/>
        <i x="59" s="1" nd="1"/>
        <i x="488" s="1" nd="1"/>
        <i x="230" s="1" nd="1"/>
        <i x="140" s="1" nd="1"/>
        <i x="244" s="1" nd="1"/>
        <i x="34" s="1" nd="1"/>
        <i x="37" s="1" nd="1"/>
        <i x="367" s="1" nd="1"/>
        <i x="232" s="1" nd="1"/>
        <i x="492" s="1" nd="1"/>
        <i x="126" s="1" nd="1"/>
        <i x="262" s="1" nd="1"/>
        <i x="373" s="1" nd="1"/>
        <i x="470" s="1" nd="1"/>
        <i x="123" s="1" nd="1"/>
        <i x="25" s="1" nd="1"/>
        <i x="434" s="1" nd="1"/>
        <i x="204" s="1" nd="1"/>
        <i x="321" s="1" nd="1"/>
        <i x="371" s="1" nd="1"/>
        <i x="360" s="1" nd="1"/>
        <i x="16" s="1" nd="1"/>
        <i x="199" s="1" nd="1"/>
        <i x="53" s="1" nd="1"/>
        <i x="260" s="1" nd="1"/>
        <i x="138" s="1" nd="1"/>
        <i x="202" s="1" nd="1"/>
        <i x="268" s="1" nd="1"/>
        <i x="327" s="1" nd="1"/>
        <i x="80" s="1" nd="1"/>
        <i x="174" s="1" nd="1"/>
        <i x="420" s="1" nd="1"/>
        <i x="486" s="1" nd="1"/>
        <i x="187" s="1" nd="1"/>
        <i x="102" s="1" nd="1"/>
        <i x="428" s="1" nd="1"/>
        <i x="28" s="1" nd="1"/>
        <i x="63" s="1" nd="1"/>
        <i x="224" s="1" nd="1"/>
        <i x="369" s="1" nd="1"/>
        <i x="468" s="1" nd="1"/>
        <i x="277" s="1" nd="1"/>
        <i x="510" s="1" nd="1"/>
        <i x="460" s="1" nd="1"/>
        <i x="397" s="1" nd="1"/>
        <i x="65" s="1" nd="1"/>
        <i x="142" s="1" nd="1"/>
        <i x="433" s="1" nd="1"/>
        <i x="413" s="1" nd="1"/>
        <i x="490" s="1" nd="1"/>
        <i x="478" s="1" nd="1"/>
        <i x="498" s="1" nd="1"/>
        <i x="192" s="1" nd="1"/>
        <i x="346" s="1" nd="1"/>
        <i x="173" s="1" nd="1"/>
        <i x="13" s="1" nd="1"/>
        <i x="415" s="1" nd="1"/>
        <i x="120" s="1" nd="1"/>
        <i x="135" s="1" nd="1"/>
        <i x="359" s="1" nd="1"/>
        <i x="511" s="1" nd="1"/>
        <i x="242" s="1" nd="1"/>
        <i x="377" s="1" nd="1"/>
        <i x="337" s="1" nd="1"/>
        <i x="44" s="1" nd="1"/>
        <i x="395" s="1" nd="1"/>
        <i x="270" s="1" nd="1"/>
        <i x="261" s="1" nd="1"/>
        <i x="8" s="1" nd="1"/>
        <i x="282" s="1" nd="1"/>
        <i x="99" s="1" nd="1"/>
        <i x="47" s="1" nd="1"/>
        <i x="401" s="1" nd="1"/>
        <i x="166" s="1" nd="1"/>
        <i x="89" s="1" nd="1"/>
        <i x="405" s="1" nd="1"/>
        <i x="40" s="1" nd="1"/>
        <i x="107" s="1" nd="1"/>
        <i x="83" s="1" nd="1"/>
        <i x="214" s="1" nd="1"/>
        <i x="181" s="1" nd="1"/>
        <i x="71" s="1" nd="1"/>
        <i x="78" s="1" nd="1"/>
        <i x="14" s="1" nd="1"/>
        <i x="504" s="1" nd="1"/>
        <i x="88" s="1" nd="1"/>
        <i x="104" s="1" nd="1"/>
        <i x="436" s="1" nd="1"/>
        <i x="42" s="1" nd="1"/>
        <i x="475" s="1" nd="1"/>
        <i x="300" s="1" nd="1"/>
        <i x="27" s="1" nd="1"/>
        <i x="172" s="1" nd="1"/>
        <i x="185" s="1" nd="1"/>
        <i x="361" s="1" nd="1"/>
        <i x="210" s="1" nd="1"/>
        <i x="326" s="1" nd="1"/>
        <i x="279" s="1" nd="1"/>
        <i x="147" s="1" nd="1"/>
        <i x="410" s="1" nd="1"/>
        <i x="451" s="1" nd="1"/>
        <i x="113" s="1" nd="1"/>
        <i x="414" s="1" nd="1"/>
        <i x="264" s="1" nd="1"/>
        <i x="457" s="1" nd="1"/>
        <i x="308" s="1" nd="1"/>
        <i x="56" s="1" nd="1"/>
        <i x="18" s="1" nd="1"/>
        <i x="95" s="1" nd="1"/>
        <i x="345" s="1" nd="1"/>
        <i x="491" s="1" nd="1"/>
        <i x="217" s="1" nd="1"/>
        <i x="348" s="1" nd="1"/>
        <i x="334" s="1" nd="1"/>
        <i x="182" s="1" nd="1"/>
        <i x="215" s="1" nd="1"/>
        <i x="0" s="1" nd="1"/>
        <i x="175" s="1" nd="1"/>
        <i x="70" s="1" nd="1"/>
        <i x="162" s="1" nd="1"/>
        <i x="161" s="1" nd="1"/>
        <i x="178" s="1" nd="1"/>
        <i x="482" s="1" nd="1"/>
        <i x="158" s="1" nd="1"/>
        <i x="501" s="1" nd="1"/>
        <i x="256" s="1" nd="1"/>
        <i x="153" s="1" nd="1"/>
        <i x="411" s="1" nd="1"/>
        <i x="86" s="1" nd="1"/>
        <i x="365" s="1" nd="1"/>
        <i x="267" s="1" nd="1"/>
        <i x="388" s="1" nd="1"/>
        <i x="503" s="1" nd="1"/>
        <i x="125" s="1" nd="1"/>
        <i x="253" s="1" nd="1"/>
        <i x="226" s="1" nd="1"/>
        <i x="293" s="1" nd="1"/>
        <i x="283" s="1" nd="1"/>
        <i x="94" s="1" nd="1"/>
        <i x="38" s="1" nd="1"/>
        <i x="134" s="1" nd="1"/>
        <i x="370" s="1" nd="1"/>
        <i x="462" s="1" nd="1"/>
        <i x="499" s="1" nd="1"/>
        <i x="250" s="1" nd="1"/>
        <i x="69" s="1" nd="1"/>
        <i x="176" s="1" nd="1"/>
        <i x="461" s="1" nd="1"/>
        <i x="379" s="1" nd="1"/>
        <i x="381" s="1" nd="1"/>
        <i x="221" s="1" nd="1"/>
        <i x="228" s="1" nd="1"/>
        <i x="90" s="1" nd="1"/>
        <i x="223" s="1" nd="1"/>
        <i x="496" s="1" nd="1"/>
        <i x="12" s="1" nd="1"/>
        <i x="184" s="1" nd="1"/>
        <i x="50" s="1" nd="1"/>
        <i x="439" s="1" nd="1"/>
        <i x="49" s="1" nd="1"/>
        <i x="383" s="1" nd="1"/>
        <i x="234" s="1" nd="1"/>
        <i x="79" s="1" nd="1"/>
        <i x="39" s="1" nd="1"/>
        <i x="191" s="1" nd="1"/>
        <i x="344" s="1" nd="1"/>
        <i x="51" s="1" nd="1"/>
        <i x="320" s="1" nd="1"/>
        <i x="35" s="1" nd="1"/>
        <i x="450" s="1" nd="1"/>
        <i x="286" s="1" nd="1"/>
        <i x="284" s="1" nd="1"/>
        <i x="269" s="1" nd="1"/>
        <i x="315" s="1" nd="1"/>
        <i x="91" s="1" nd="1"/>
        <i x="472" s="1" nd="1"/>
        <i x="31" s="1" nd="1"/>
        <i x="109" s="1" nd="1"/>
        <i x="289" s="1" nd="1"/>
        <i x="291" s="1" nd="1"/>
        <i x="206" s="1" nd="1"/>
        <i x="19" s="1" nd="1"/>
        <i x="473" s="1" nd="1"/>
        <i x="220" s="1" nd="1"/>
        <i x="137" s="1" nd="1"/>
        <i x="339" s="1" nd="1"/>
        <i x="429" s="1" nd="1"/>
        <i x="452" s="1" nd="1"/>
        <i x="467" s="1" nd="1"/>
        <i x="423" s="1" nd="1"/>
        <i x="389" s="1" nd="1"/>
        <i x="400" s="1" nd="1"/>
        <i x="93" s="1" nd="1"/>
        <i x="266" s="1" nd="1"/>
        <i x="105" s="1" nd="1"/>
        <i x="444" s="1" nd="1"/>
        <i x="352" s="1" nd="1"/>
        <i x="372" s="1" nd="1"/>
        <i x="68" s="1" nd="1"/>
        <i x="390" s="1" nd="1"/>
        <i x="508" s="1" nd="1"/>
        <i x="21" s="1" nd="1"/>
        <i x="64" s="1" nd="1"/>
        <i x="404" s="1" nd="1"/>
        <i x="402" s="1" nd="1"/>
        <i x="407" s="1" nd="1"/>
        <i x="248" s="1" nd="1"/>
        <i x="136" s="1" nd="1"/>
        <i x="297" s="1" nd="1"/>
        <i x="72" s="1" nd="1"/>
        <i x="316" s="1" nd="1"/>
        <i x="73" s="1" nd="1"/>
        <i x="146" s="1" nd="1"/>
        <i x="427" s="1" nd="1"/>
        <i x="292" s="1" nd="1"/>
        <i x="36" s="1" nd="1"/>
        <i x="163" s="1" nd="1"/>
        <i x="509" s="1" nd="1"/>
        <i x="131" s="1" nd="1"/>
        <i x="243" s="1" nd="1"/>
        <i x="96" s="1" nd="1"/>
        <i x="375" s="1" nd="1"/>
        <i x="259" s="1" nd="1"/>
        <i x="353" s="1" nd="1"/>
        <i x="124" s="1" nd="1"/>
        <i x="329" s="1" nd="1"/>
        <i x="128" s="1" nd="1"/>
        <i x="335" s="1" nd="1"/>
        <i x="200" s="1" nd="1"/>
        <i x="46" s="1" nd="1"/>
        <i x="149" s="1" nd="1"/>
        <i x="432" s="1" nd="1"/>
        <i x="505" s="1" nd="1"/>
        <i x="208" s="1" nd="1"/>
        <i x="426" s="1" nd="1"/>
        <i x="15" s="1" nd="1"/>
        <i x="480" s="1" nd="1"/>
        <i x="331" s="1" nd="1"/>
        <i x="139" s="1" nd="1"/>
        <i x="122" s="1" nd="1"/>
        <i x="312" s="1" nd="1"/>
        <i x="246" s="1" nd="1"/>
        <i x="115" s="1" nd="1"/>
        <i x="278" s="1" nd="1"/>
        <i x="193" s="1" nd="1"/>
        <i x="263" s="1" nd="1"/>
        <i x="240" s="1" nd="1"/>
        <i x="443" s="1" nd="1"/>
        <i x="512" s="1" nd="1"/>
        <i x="7" s="1" nd="1"/>
        <i x="203" s="1" nd="1"/>
        <i x="290" s="1" nd="1"/>
        <i x="183" s="1" nd="1"/>
        <i x="325" s="1" nd="1"/>
        <i x="85" s="1" nd="1"/>
        <i x="108" s="1" nd="1"/>
        <i x="271" s="1" nd="1"/>
        <i x="336" s="1" nd="1"/>
        <i x="100" s="1" nd="1"/>
        <i x="406" s="1" nd="1"/>
        <i x="311" s="1" nd="1"/>
        <i x="252" s="1" nd="1"/>
        <i x="355" s="1" nd="1"/>
        <i x="318" s="1" nd="1"/>
        <i x="288" s="1" nd="1"/>
        <i x="97" s="1" nd="1"/>
        <i x="347" s="1" nd="1"/>
        <i x="20" s="1" nd="1"/>
        <i x="245" s="1" nd="1"/>
        <i x="3" s="1" nd="1"/>
        <i x="385" s="1" nd="1"/>
        <i x="52" s="1" nd="1"/>
        <i x="23" s="1" nd="1"/>
        <i x="437" s="1" nd="1"/>
        <i x="422" s="1" nd="1"/>
        <i x="485" s="1" nd="1"/>
        <i x="303" s="1" nd="1"/>
        <i x="310" s="1" nd="1"/>
        <i x="179" s="1" nd="1"/>
        <i x="6" s="1" nd="1"/>
        <i x="356" s="1" nd="1"/>
        <i x="222" s="1" nd="1"/>
        <i x="464" s="1" nd="1"/>
        <i x="506" s="1" nd="1"/>
        <i x="295" s="1" nd="1"/>
        <i x="98" s="1" nd="1"/>
        <i x="497" s="1" nd="1"/>
        <i x="84" s="1" nd="1"/>
        <i x="76" s="1" nd="1"/>
        <i x="298" s="1" nd="1"/>
        <i x="196" s="1" nd="1"/>
        <i x="445" s="1" nd="1"/>
        <i x="121" s="1" nd="1"/>
        <i x="440" s="1" nd="1"/>
        <i x="324" s="1" nd="1"/>
        <i x="502" s="1" nd="1"/>
        <i x="343" s="1" nd="1"/>
        <i x="319" s="1" nd="1"/>
        <i x="454" s="1" nd="1"/>
        <i x="233" s="1" nd="1"/>
        <i x="287" s="1" nd="1"/>
        <i x="418" s="1" nd="1"/>
        <i x="477" s="1" nd="1"/>
        <i x="351" s="1" nd="1"/>
        <i x="55" s="1" nd="1"/>
        <i x="57" s="1" nd="1"/>
        <i x="227" s="1" nd="1"/>
        <i x="61" s="1" nd="1"/>
        <i x="180" s="1" nd="1"/>
        <i x="349" s="1" nd="1"/>
        <i x="301" s="1" nd="1"/>
        <i x="112" s="1" nd="1"/>
        <i x="386" s="1" nd="1"/>
        <i x="229" s="1" nd="1"/>
        <i x="378" s="1" nd="1"/>
        <i x="92" s="1" nd="1"/>
        <i x="151" s="1" nd="1"/>
        <i x="117" s="1" nd="1"/>
        <i x="177" s="1" nd="1"/>
        <i x="190" s="1" nd="1"/>
        <i x="391" s="1" nd="1"/>
        <i x="195" s="1" nd="1"/>
        <i x="376" s="1" nd="1"/>
        <i x="2" s="1" nd="1"/>
        <i x="213" s="1" nd="1"/>
        <i x="45" s="1" nd="1"/>
        <i x="212" s="1" nd="1"/>
        <i x="24" s="1" nd="1"/>
        <i x="165" s="1" nd="1"/>
        <i x="145" s="1" nd="1"/>
        <i x="75" s="1" nd="1"/>
        <i x="419" s="1" nd="1"/>
        <i x="431" s="1" nd="1"/>
        <i x="393" s="1" nd="1"/>
        <i x="357" s="1" nd="1"/>
        <i x="403" s="1" nd="1"/>
        <i x="118" s="1" nd="1"/>
        <i x="448" s="1" nd="1"/>
        <i x="4" s="1" nd="1"/>
        <i x="48" s="1" nd="1"/>
        <i x="333" s="1" nd="1"/>
        <i x="463" s="1" nd="1"/>
        <i x="430" s="1" nd="1"/>
        <i x="168" s="1" nd="1"/>
        <i x="364" s="1" nd="1"/>
        <i x="82" s="1" nd="1"/>
        <i x="313" s="1" nd="1"/>
        <i x="87" s="1" nd="1"/>
        <i x="317" s="1" nd="1"/>
        <i x="398" s="1" nd="1"/>
        <i x="211" s="1" nd="1"/>
        <i x="481" s="1" nd="1"/>
        <i x="487" s="1" nd="1"/>
        <i x="306" s="1" nd="1"/>
        <i x="170" s="1" nd="1"/>
        <i x="285" s="1" nd="1"/>
        <i x="399" s="1" nd="1"/>
        <i x="471" s="1" nd="1"/>
        <i x="384" s="1" nd="1"/>
        <i x="495" s="1" nd="1"/>
        <i x="382" s="1" nd="1"/>
        <i x="358" s="1" nd="1"/>
        <i x="392" s="1" nd="1"/>
        <i x="296" s="1" nd="1"/>
        <i x="500" s="1" nd="1"/>
        <i x="26" s="1" nd="1"/>
        <i x="362" s="1" nd="1"/>
        <i x="258" s="1" nd="1"/>
        <i x="281" s="1" nd="1"/>
        <i x="159" s="1" nd="1"/>
        <i x="164" s="1" nd="1"/>
        <i x="129" s="1" nd="1"/>
        <i x="130" s="1" nd="1"/>
        <i x="276" s="1" nd="1"/>
        <i x="341" s="1" nd="1"/>
        <i x="254" s="1" nd="1"/>
        <i x="338" s="1" nd="1"/>
        <i x="111" s="1" nd="1"/>
        <i x="143" s="1" nd="1"/>
        <i x="43" s="1" nd="1"/>
        <i x="155" s="1" nd="1"/>
        <i x="314" s="1" nd="1"/>
        <i x="62" s="1" nd="1"/>
        <i x="1" s="1" nd="1"/>
        <i x="255" s="1" nd="1"/>
        <i x="465" s="1" nd="1"/>
        <i x="274" s="1" nd="1"/>
        <i x="201" s="1" nd="1"/>
        <i x="494" s="1" nd="1"/>
        <i x="493" s="1" nd="1"/>
        <i x="32" s="1" nd="1"/>
        <i x="150" s="1" nd="1"/>
        <i x="408" s="1" nd="1"/>
        <i x="235" s="1" nd="1"/>
        <i x="154" s="1" nd="1"/>
        <i x="412" s="1" nd="1"/>
        <i x="275" s="1" nd="1"/>
        <i x="144" s="1" nd="1"/>
        <i x="241" s="1" nd="1"/>
        <i x="328" s="1" nd="1"/>
        <i x="396" s="1" nd="1"/>
        <i x="280" s="1" nd="1"/>
        <i x="455" s="1" nd="1"/>
        <i x="127" s="1" nd="1"/>
        <i x="342" s="1" nd="1"/>
        <i x="323" s="1" nd="1"/>
        <i x="169" s="1" nd="1"/>
        <i x="110" s="1" nd="1"/>
        <i x="257" s="1" nd="1"/>
        <i x="198" s="1" nd="1"/>
        <i x="30" s="1" nd="1"/>
        <i x="219" s="1" nd="1"/>
        <i x="374" s="1" nd="1"/>
        <i x="103" s="1" nd="1"/>
        <i x="225" s="1" nd="1"/>
        <i x="207" s="1" nd="1"/>
        <i x="305" s="1" nd="1"/>
        <i x="476" s="1" nd="1"/>
        <i x="417" s="1" nd="1"/>
        <i x="249" s="1" nd="1"/>
        <i x="41" s="1" nd="1"/>
        <i x="205" s="1" nd="1"/>
        <i x="425" s="1" nd="1"/>
        <i x="484" s="1" nd="1"/>
        <i x="489" s="1" nd="1"/>
        <i x="171" s="1" nd="1"/>
        <i x="22" s="1" nd="1"/>
        <i x="416" s="1" nd="1"/>
        <i x="438" s="1" nd="1"/>
        <i x="60" s="1" nd="1"/>
        <i x="265" s="1" nd="1"/>
        <i x="11" s="1" nd="1"/>
        <i x="409" s="1" nd="1"/>
        <i x="116" s="1" nd="1"/>
        <i x="479" s="1" nd="1"/>
        <i x="239" s="1" nd="1"/>
        <i x="9" s="1" nd="1"/>
        <i x="309" s="1" nd="1"/>
        <i x="368" s="1" nd="1"/>
        <i x="424" s="1" nd="1"/>
        <i x="167" s="1" nd="1"/>
        <i x="237" s="1" nd="1"/>
        <i x="350" s="1" nd="1"/>
        <i x="449" s="1" nd="1"/>
        <i x="188" s="1" nd="1"/>
        <i x="157" s="1" nd="1"/>
        <i x="299" s="1" nd="1"/>
        <i x="148" s="1" nd="1"/>
        <i x="33" s="1" nd="1"/>
        <i x="466" s="1" nd="1"/>
        <i x="216" s="1" nd="1"/>
        <i x="29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eam" xr10:uid="{68FAAB5D-07AC-4A7E-8644-ECB702B8655A}" sourceName="Team">
  <pivotTables>
    <pivotTable tabId="9" name="TablaDinámica7"/>
  </pivotTables>
  <data>
    <tabular pivotCacheId="59932116">
      <items count="31">
        <i x="30"/>
        <i x="21" s="1"/>
        <i x="5" s="1"/>
        <i x="13"/>
        <i x="24"/>
        <i x="3"/>
        <i x="19"/>
        <i x="6"/>
        <i x="2"/>
        <i x="17"/>
        <i x="23"/>
        <i x="27"/>
        <i x="26"/>
        <i x="16"/>
        <i x="10"/>
        <i x="22"/>
        <i x="15"/>
        <i x="0"/>
        <i x="14"/>
        <i x="20"/>
        <i x="12"/>
        <i x="1"/>
        <i x="4"/>
        <i x="11"/>
        <i x="7"/>
        <i x="29"/>
        <i x="8"/>
        <i x="9"/>
        <i x="18"/>
        <i x="28"/>
        <i x="25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s" xr10:uid="{2746DBF9-13CF-4873-AC94-A14B9343F053}" sourceName="Pos">
  <pivotTables>
    <pivotTable tabId="9" name="TablaDinámica7"/>
  </pivotTables>
  <data>
    <tabular pivotCacheId="59932116">
      <items count="5">
        <i x="2" s="1"/>
        <i x="0" s="1"/>
        <i x="1"/>
        <i x="4"/>
        <i x="3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layer" xr10:uid="{722B2ADC-4FF5-43F8-8C49-E905CC40DC79}" cache="SegmentaciónDeDatos_Player" caption="Player" style="SlicerStyleDark2" rowHeight="241300"/>
  <slicer name="Team" xr10:uid="{7DA50888-0C41-43A8-95D4-6B10DA55005F}" cache="SegmentaciónDeDatos_Team" caption="Team" style="SlicerStyleDark2" rowHeight="241300"/>
  <slicer name="Pos" xr10:uid="{AAAC2152-E507-4305-9988-DF83E7844809}" cache="SegmentaciónDeDatos_Pos" caption="Pos" style="SlicerStyleDark2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C833A2-66D5-47FB-A38F-36E3CD651B6B}" name="Tabla3" displayName="Tabla3" ref="A1:AD514" totalsRowShown="0" headerRowDxfId="204" dataDxfId="203" tableBorderDxfId="202">
  <autoFilter ref="A1:AD514" xr:uid="{35C833A2-66D5-47FB-A38F-36E3CD651B6B}"/>
  <sortState xmlns:xlrd2="http://schemas.microsoft.com/office/spreadsheetml/2017/richdata2" ref="A2:AD514">
    <sortCondition descending="1" ref="AD1:AD514"/>
  </sortState>
  <tableColumns count="30">
    <tableColumn id="1" xr3:uid="{8C858AE5-9F31-49D4-AB27-AC0BD51CD0D6}" name="Rk" dataDxfId="201"/>
    <tableColumn id="2" xr3:uid="{3EE3F07B-6DD5-4E15-913F-E10B0F621D4E}" name="Player" dataDxfId="200"/>
    <tableColumn id="3" xr3:uid="{3E7FB515-345D-4134-B4D7-6CE66ADC0E76}" name="Age" dataDxfId="199"/>
    <tableColumn id="4" xr3:uid="{09D1225D-A358-4F3C-B1D0-91603447555E}" name="Team" dataDxfId="198"/>
    <tableColumn id="5" xr3:uid="{4EB101DB-6BDB-413F-9D95-10C45A0C278A}" name="Pos" dataDxfId="197"/>
    <tableColumn id="6" xr3:uid="{8718C7BC-72D1-49CB-AFBE-37EEC3B9C2D6}" name="G" dataDxfId="196"/>
    <tableColumn id="7" xr3:uid="{6BFEBD4C-F3F1-4045-AF74-A2AD6A300CD5}" name="GS" dataDxfId="195"/>
    <tableColumn id="8" xr3:uid="{7234DA62-EFFE-4CB6-8DE0-AD57EC4FB534}" name="MP" dataDxfId="194"/>
    <tableColumn id="9" xr3:uid="{45425EA1-786F-4F31-ABDA-94512033FAC6}" name="FG" dataDxfId="193"/>
    <tableColumn id="10" xr3:uid="{094E4CB9-BFCF-4369-9791-6CF42F5C8E35}" name="FGA" dataDxfId="192"/>
    <tableColumn id="11" xr3:uid="{06A78A2B-219E-4FD5-B70B-976F0279865E}" name="FG%" dataDxfId="191">
      <calculatedColumnFormula>IFERROR(database_24_25!$I2/database_24_25!$J2,0)</calculatedColumnFormula>
    </tableColumn>
    <tableColumn id="12" xr3:uid="{7541113C-447B-4104-B131-1D91E9FE2F89}" name="3P" dataDxfId="190"/>
    <tableColumn id="13" xr3:uid="{3BA111EE-F16A-4C56-9846-08689BB61B33}" name="3PA" dataDxfId="189"/>
    <tableColumn id="14" xr3:uid="{61E5BD01-01DF-4C8E-B269-913830662539}" name="3P%" dataDxfId="188">
      <calculatedColumnFormula>IFERROR(database_24_25!$L2/database_24_25!$M2,0)</calculatedColumnFormula>
    </tableColumn>
    <tableColumn id="15" xr3:uid="{E453E701-E634-4B20-84EA-7B4A43033BCD}" name="2P" dataDxfId="187"/>
    <tableColumn id="16" xr3:uid="{33BCCCB0-A9B1-4C82-83E9-A161D0EE1938}" name="2PA" dataDxfId="186">
      <calculatedColumnFormula>database_24_25!$Q2/10</calculatedColumnFormula>
    </tableColumn>
    <tableColumn id="17" xr3:uid="{DF89E79B-0482-4009-B094-087FFFF48612}" name="2PA2" dataDxfId="117"/>
    <tableColumn id="18" xr3:uid="{1DF45102-F3F6-4702-8421-0F357FC735D9}" name="2P%" dataDxfId="185">
      <calculatedColumnFormula>IFERROR(database_24_25!$O2/database_24_25!$P2,0)</calculatedColumnFormula>
    </tableColumn>
    <tableColumn id="20" xr3:uid="{EAF9D556-722B-4AA8-B293-456F00D2BB21}" name="FT" dataDxfId="184"/>
    <tableColumn id="21" xr3:uid="{72EF44F9-CD10-40A0-9064-EEA7E431BC55}" name="FTA" dataDxfId="183"/>
    <tableColumn id="22" xr3:uid="{58B6C940-C788-4551-B226-813FB951413B}" name="FT%" dataDxfId="182">
      <calculatedColumnFormula>IFERROR(database_24_25!$S2/database_24_25!$T2,0)</calculatedColumnFormula>
    </tableColumn>
    <tableColumn id="23" xr3:uid="{322ADA9D-74E9-41E5-B1B2-8DC407BD455A}" name="ORB" dataDxfId="181"/>
    <tableColumn id="24" xr3:uid="{CAB6E5AD-50A3-402A-9210-761375CD73A4}" name="DRB" dataDxfId="180"/>
    <tableColumn id="25" xr3:uid="{F92510B9-7555-4C16-AAA6-621D1F5F8886}" name="TRB" dataDxfId="179"/>
    <tableColumn id="26" xr3:uid="{8FE44897-17F9-4FA7-AA6D-897B734DEBA8}" name="AST" dataDxfId="178"/>
    <tableColumn id="27" xr3:uid="{B4543C3F-13C8-41FE-A010-10250FFC826B}" name="STL" dataDxfId="177"/>
    <tableColumn id="28" xr3:uid="{DF0AE59E-A0DD-4CB8-AC1F-8A472B12B779}" name="BLK" dataDxfId="176"/>
    <tableColumn id="29" xr3:uid="{79A2865B-7717-40DF-8AB5-A9F6665B804A}" name="TOV" dataDxfId="175"/>
    <tableColumn id="30" xr3:uid="{7628FABE-5738-4883-8C77-5350CACB0A76}" name="PF" dataDxfId="174"/>
    <tableColumn id="31" xr3:uid="{63BED527-BB94-4A24-B26E-44456508EF4B}" name="PTSPP" dataDxfId="173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Papel">
      <a:dk1>
        <a:sysClr val="windowText" lastClr="000000"/>
      </a:dk1>
      <a:lt1>
        <a:sysClr val="window" lastClr="FFFFFF"/>
      </a:lt1>
      <a:dk2>
        <a:srgbClr val="444D26"/>
      </a:dk2>
      <a:lt2>
        <a:srgbClr val="FEFAC9"/>
      </a:lt2>
      <a:accent1>
        <a:srgbClr val="A5B592"/>
      </a:accent1>
      <a:accent2>
        <a:srgbClr val="F3A447"/>
      </a:accent2>
      <a:accent3>
        <a:srgbClr val="E7BC29"/>
      </a:accent3>
      <a:accent4>
        <a:srgbClr val="D092A7"/>
      </a:accent4>
      <a:accent5>
        <a:srgbClr val="9C85C0"/>
      </a:accent5>
      <a:accent6>
        <a:srgbClr val="809EC2"/>
      </a:accent6>
      <a:hlink>
        <a:srgbClr val="8E58B6"/>
      </a:hlink>
      <a:folHlink>
        <a:srgbClr val="7F6F6F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7DE1-6405-4705-8F9C-4BE9F0DB4221}">
  <dimension ref="A1:AD527"/>
  <sheetViews>
    <sheetView tabSelected="1" topLeftCell="B1" workbookViewId="0">
      <pane xSplit="1" ySplit="1" topLeftCell="C2" activePane="bottomRight" state="frozen"/>
      <selection activeCell="B1" sqref="B1"/>
      <selection pane="topRight" activeCell="C1" sqref="C1"/>
      <selection pane="bottomLeft" activeCell="B2" sqref="B2"/>
      <selection pane="bottomRight" activeCell="AF6" sqref="AF6"/>
    </sheetView>
  </sheetViews>
  <sheetFormatPr baseColWidth="10" defaultRowHeight="15" outlineLevelCol="2" x14ac:dyDescent="0.25"/>
  <cols>
    <col min="1" max="1" width="5.42578125" style="2" bestFit="1" customWidth="1"/>
    <col min="2" max="2" width="24.5703125" style="2" bestFit="1" customWidth="1"/>
    <col min="3" max="3" width="6.7109375" style="2" bestFit="1" customWidth="1"/>
    <col min="4" max="4" width="8.140625" style="2" bestFit="1" customWidth="1"/>
    <col min="5" max="5" width="6.42578125" style="2" bestFit="1" customWidth="1"/>
    <col min="6" max="6" width="4.7109375" style="2" bestFit="1" customWidth="1"/>
    <col min="7" max="7" width="5.7109375" style="2" bestFit="1" customWidth="1"/>
    <col min="8" max="8" width="6.28515625" style="4" bestFit="1" customWidth="1"/>
    <col min="9" max="9" width="5.7109375" style="4" hidden="1" customWidth="1" outlineLevel="1"/>
    <col min="10" max="10" width="7" style="4" hidden="1" customWidth="1" outlineLevel="1"/>
    <col min="11" max="11" width="9.28515625" style="1" hidden="1" customWidth="1" outlineLevel="1" collapsed="1"/>
    <col min="12" max="12" width="5.42578125" style="4" hidden="1" customWidth="1" outlineLevel="2"/>
    <col min="13" max="13" width="9" style="4" hidden="1" customWidth="1" outlineLevel="2"/>
    <col min="14" max="14" width="7.28515625" style="1" hidden="1" customWidth="1" outlineLevel="1" collapsed="1"/>
    <col min="15" max="15" width="5.42578125" style="4" hidden="1" customWidth="1" outlineLevel="2"/>
    <col min="16" max="16" width="6.5703125" style="4" hidden="1" customWidth="1" outlineLevel="2"/>
    <col min="17" max="17" width="6.7109375" style="3" hidden="1" customWidth="1" outlineLevel="2"/>
    <col min="18" max="18" width="8.140625" style="1" hidden="1" customWidth="1" outlineLevel="1" collapsed="1"/>
    <col min="19" max="19" width="5.28515625" style="4" hidden="1" customWidth="1" outlineLevel="2"/>
    <col min="20" max="20" width="6.5703125" style="4" hidden="1" customWidth="1" outlineLevel="2"/>
    <col min="21" max="21" width="8.140625" style="1" hidden="1" customWidth="1" outlineLevel="1" collapsed="1"/>
    <col min="22" max="22" width="7" style="4" hidden="1" customWidth="1" outlineLevel="2"/>
    <col min="23" max="23" width="6.85546875" style="4" hidden="1" customWidth="1" outlineLevel="2"/>
    <col min="24" max="24" width="6.5703125" style="4" hidden="1" customWidth="1" outlineLevel="1" collapsed="1"/>
    <col min="25" max="25" width="6.5703125" style="4" bestFit="1" customWidth="1" collapsed="1"/>
    <col min="26" max="26" width="6.140625" style="4" bestFit="1" customWidth="1"/>
    <col min="27" max="27" width="6.42578125" style="4" bestFit="1" customWidth="1"/>
    <col min="28" max="28" width="7" style="4" bestFit="1" customWidth="1"/>
    <col min="29" max="29" width="5.42578125" style="4" bestFit="1" customWidth="1"/>
    <col min="30" max="30" width="8.5703125" style="4" customWidth="1"/>
    <col min="31" max="16384" width="11.42578125" style="2"/>
  </cols>
  <sheetData>
    <row r="1" spans="1:30" x14ac:dyDescent="0.25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9" t="s">
        <v>10</v>
      </c>
      <c r="L1" s="8" t="s">
        <v>11</v>
      </c>
      <c r="M1" s="8" t="s">
        <v>12</v>
      </c>
      <c r="N1" s="9" t="s">
        <v>13</v>
      </c>
      <c r="O1" s="8" t="s">
        <v>14</v>
      </c>
      <c r="P1" s="8" t="s">
        <v>15</v>
      </c>
      <c r="Q1" s="8" t="s">
        <v>576</v>
      </c>
      <c r="R1" s="9" t="s">
        <v>16</v>
      </c>
      <c r="S1" s="8" t="s">
        <v>17</v>
      </c>
      <c r="T1" s="8" t="s">
        <v>18</v>
      </c>
      <c r="U1" s="9" t="s">
        <v>19</v>
      </c>
      <c r="V1" s="8" t="s">
        <v>20</v>
      </c>
      <c r="W1" s="8" t="s">
        <v>21</v>
      </c>
      <c r="X1" s="8" t="s">
        <v>22</v>
      </c>
      <c r="Y1" s="8" t="s">
        <v>23</v>
      </c>
      <c r="Z1" s="8" t="s">
        <v>24</v>
      </c>
      <c r="AA1" s="8" t="s">
        <v>25</v>
      </c>
      <c r="AB1" s="8" t="s">
        <v>26</v>
      </c>
      <c r="AC1" s="8" t="s">
        <v>27</v>
      </c>
      <c r="AD1" s="8" t="s">
        <v>577</v>
      </c>
    </row>
    <row r="2" spans="1:30" x14ac:dyDescent="0.25">
      <c r="A2" s="5">
        <v>10</v>
      </c>
      <c r="B2" s="5" t="s">
        <v>28</v>
      </c>
      <c r="C2" s="5">
        <v>30</v>
      </c>
      <c r="D2" s="5" t="s">
        <v>29</v>
      </c>
      <c r="E2" s="5" t="s">
        <v>27</v>
      </c>
      <c r="F2" s="5">
        <v>26</v>
      </c>
      <c r="G2" s="5">
        <v>26</v>
      </c>
      <c r="H2" s="5">
        <v>35.1</v>
      </c>
      <c r="I2" s="5">
        <v>12.7</v>
      </c>
      <c r="J2" s="5">
        <v>21</v>
      </c>
      <c r="K2" s="6">
        <f>IFERROR(database_24_25!$I2/database_24_25!$J2,0)</f>
        <v>0.60476190476190472</v>
      </c>
      <c r="L2" s="5">
        <v>0.2</v>
      </c>
      <c r="M2" s="5">
        <v>0.7</v>
      </c>
      <c r="N2" s="6">
        <f>IFERROR(database_24_25!$L2/database_24_25!$M2,0)</f>
        <v>0.28571428571428575</v>
      </c>
      <c r="O2" s="5">
        <v>12.5</v>
      </c>
      <c r="P2" s="5">
        <f>database_24_25!$Q2/10</f>
        <v>20.3</v>
      </c>
      <c r="Q2" s="5">
        <v>203</v>
      </c>
      <c r="R2" s="6">
        <f>IFERROR(database_24_25!$O2/database_24_25!$P2,0)</f>
        <v>0.61576354679802958</v>
      </c>
      <c r="S2" s="5">
        <v>6.8</v>
      </c>
      <c r="T2" s="5">
        <v>11.3</v>
      </c>
      <c r="U2" s="6">
        <f>IFERROR(database_24_25!$S2/database_24_25!$T2,0)</f>
        <v>0.60176991150442471</v>
      </c>
      <c r="V2" s="5">
        <v>2</v>
      </c>
      <c r="W2" s="5">
        <v>9.6</v>
      </c>
      <c r="X2" s="5">
        <v>11.7</v>
      </c>
      <c r="Y2" s="5">
        <v>6</v>
      </c>
      <c r="Z2" s="5">
        <v>0.8</v>
      </c>
      <c r="AA2" s="5">
        <v>1.5</v>
      </c>
      <c r="AB2" s="5">
        <v>3.3</v>
      </c>
      <c r="AC2" s="5">
        <v>2.5</v>
      </c>
      <c r="AD2" s="5">
        <v>32.4</v>
      </c>
    </row>
    <row r="3" spans="1:30" x14ac:dyDescent="0.25">
      <c r="A3" s="7">
        <v>20</v>
      </c>
      <c r="B3" s="7" t="s">
        <v>30</v>
      </c>
      <c r="C3" s="7">
        <v>26</v>
      </c>
      <c r="D3" s="7" t="s">
        <v>31</v>
      </c>
      <c r="E3" s="7" t="s">
        <v>32</v>
      </c>
      <c r="F3" s="7">
        <v>34</v>
      </c>
      <c r="G3" s="7">
        <v>34</v>
      </c>
      <c r="H3" s="7">
        <v>34.4</v>
      </c>
      <c r="I3" s="7">
        <v>11</v>
      </c>
      <c r="J3" s="7">
        <v>21</v>
      </c>
      <c r="K3" s="6">
        <f>IFERROR(database_24_25!$I3/database_24_25!$J3,0)</f>
        <v>0.52380952380952384</v>
      </c>
      <c r="L3" s="7">
        <v>2.1</v>
      </c>
      <c r="M3" s="7">
        <v>6</v>
      </c>
      <c r="N3" s="6">
        <f>IFERROR(database_24_25!$L3/database_24_25!$M3,0)</f>
        <v>0.35000000000000003</v>
      </c>
      <c r="O3" s="7">
        <v>8.9</v>
      </c>
      <c r="P3" s="5">
        <f>database_24_25!$Q3/10</f>
        <v>15</v>
      </c>
      <c r="Q3" s="7">
        <v>150</v>
      </c>
      <c r="R3" s="6">
        <f>IFERROR(database_24_25!$O3/database_24_25!$P3,0)</f>
        <v>0.59333333333333338</v>
      </c>
      <c r="S3" s="7">
        <v>7</v>
      </c>
      <c r="T3" s="7">
        <v>7.9</v>
      </c>
      <c r="U3" s="6">
        <f>IFERROR(database_24_25!$S3/database_24_25!$T3,0)</f>
        <v>0.88607594936708856</v>
      </c>
      <c r="V3" s="7">
        <v>0.8</v>
      </c>
      <c r="W3" s="7">
        <v>4.5999999999999996</v>
      </c>
      <c r="X3" s="7">
        <v>5.4</v>
      </c>
      <c r="Y3" s="7">
        <v>6.1</v>
      </c>
      <c r="Z3" s="7">
        <v>2</v>
      </c>
      <c r="AA3" s="7">
        <v>1.1000000000000001</v>
      </c>
      <c r="AB3" s="7">
        <v>2.6</v>
      </c>
      <c r="AC3" s="7">
        <v>2.1</v>
      </c>
      <c r="AD3" s="7">
        <v>31.2</v>
      </c>
    </row>
    <row r="4" spans="1:30" x14ac:dyDescent="0.25">
      <c r="A4" s="5">
        <v>30</v>
      </c>
      <c r="B4" s="5" t="s">
        <v>33</v>
      </c>
      <c r="C4" s="5">
        <v>29</v>
      </c>
      <c r="D4" s="5" t="s">
        <v>34</v>
      </c>
      <c r="E4" s="5" t="s">
        <v>35</v>
      </c>
      <c r="F4" s="5">
        <v>30</v>
      </c>
      <c r="G4" s="5">
        <v>30</v>
      </c>
      <c r="H4" s="5">
        <v>36.9</v>
      </c>
      <c r="I4" s="5">
        <v>11.8</v>
      </c>
      <c r="J4" s="5">
        <v>21.3</v>
      </c>
      <c r="K4" s="6">
        <f>IFERROR(database_24_25!$I4/database_24_25!$J4,0)</f>
        <v>0.5539906103286385</v>
      </c>
      <c r="L4" s="5">
        <v>2.2999999999999998</v>
      </c>
      <c r="M4" s="5">
        <v>4.7</v>
      </c>
      <c r="N4" s="6">
        <f>IFERROR(database_24_25!$L4/database_24_25!$M4,0)</f>
        <v>0.4893617021276595</v>
      </c>
      <c r="O4" s="5">
        <v>9.5</v>
      </c>
      <c r="P4" s="5">
        <f>database_24_25!$Q4/10</f>
        <v>16.5</v>
      </c>
      <c r="Q4" s="5">
        <v>165</v>
      </c>
      <c r="R4" s="6">
        <f>IFERROR(database_24_25!$O4/database_24_25!$P4,0)</f>
        <v>0.5757575757575758</v>
      </c>
      <c r="S4" s="5">
        <v>5.2</v>
      </c>
      <c r="T4" s="5">
        <v>6.5</v>
      </c>
      <c r="U4" s="6">
        <f>IFERROR(database_24_25!$S4/database_24_25!$T4,0)</f>
        <v>0.8</v>
      </c>
      <c r="V4" s="5">
        <v>3.5</v>
      </c>
      <c r="W4" s="5">
        <v>9.6999999999999993</v>
      </c>
      <c r="X4" s="5">
        <v>13.2</v>
      </c>
      <c r="Y4" s="5">
        <v>9.6999999999999993</v>
      </c>
      <c r="Z4" s="5">
        <v>1.7</v>
      </c>
      <c r="AA4" s="5">
        <v>0.6</v>
      </c>
      <c r="AB4" s="5">
        <v>3.3</v>
      </c>
      <c r="AC4" s="5">
        <v>2.1</v>
      </c>
      <c r="AD4" s="5">
        <v>31</v>
      </c>
    </row>
    <row r="5" spans="1:30" x14ac:dyDescent="0.25">
      <c r="A5" s="7">
        <v>40</v>
      </c>
      <c r="B5" s="7" t="s">
        <v>36</v>
      </c>
      <c r="C5" s="7">
        <v>23</v>
      </c>
      <c r="D5" s="7" t="s">
        <v>37</v>
      </c>
      <c r="E5" s="7" t="s">
        <v>32</v>
      </c>
      <c r="F5" s="7">
        <v>22</v>
      </c>
      <c r="G5" s="7">
        <v>22</v>
      </c>
      <c r="H5" s="7">
        <v>33.700000000000003</v>
      </c>
      <c r="I5" s="7">
        <v>10.5</v>
      </c>
      <c r="J5" s="7">
        <v>24.6</v>
      </c>
      <c r="K5" s="6">
        <f>IFERROR(database_24_25!$I5/database_24_25!$J5,0)</f>
        <v>0.42682926829268292</v>
      </c>
      <c r="L5" s="7">
        <v>4.5</v>
      </c>
      <c r="M5" s="7">
        <v>13</v>
      </c>
      <c r="N5" s="6">
        <f>IFERROR(database_24_25!$L5/database_24_25!$M5,0)</f>
        <v>0.34615384615384615</v>
      </c>
      <c r="O5" s="7">
        <v>6</v>
      </c>
      <c r="P5" s="5">
        <f>database_24_25!$Q5/10</f>
        <v>11.6</v>
      </c>
      <c r="Q5" s="7">
        <v>116</v>
      </c>
      <c r="R5" s="6">
        <f>IFERROR(database_24_25!$O5/database_24_25!$P5,0)</f>
        <v>0.51724137931034486</v>
      </c>
      <c r="S5" s="7">
        <v>4.7</v>
      </c>
      <c r="T5" s="7">
        <v>5.5</v>
      </c>
      <c r="U5" s="6">
        <f>IFERROR(database_24_25!$S5/database_24_25!$T5,0)</f>
        <v>0.85454545454545461</v>
      </c>
      <c r="V5" s="7">
        <v>0.9</v>
      </c>
      <c r="W5" s="7">
        <v>4.5</v>
      </c>
      <c r="X5" s="7">
        <v>5.3</v>
      </c>
      <c r="Y5" s="7">
        <v>7.4</v>
      </c>
      <c r="Z5" s="7">
        <v>1.3</v>
      </c>
      <c r="AA5" s="7">
        <v>0.2</v>
      </c>
      <c r="AB5" s="7">
        <v>4.0999999999999996</v>
      </c>
      <c r="AC5" s="7">
        <v>3.7</v>
      </c>
      <c r="AD5" s="7">
        <v>30.1</v>
      </c>
    </row>
    <row r="6" spans="1:30" x14ac:dyDescent="0.25">
      <c r="A6" s="5">
        <v>50</v>
      </c>
      <c r="B6" s="5" t="s">
        <v>38</v>
      </c>
      <c r="C6" s="5">
        <v>22</v>
      </c>
      <c r="D6" s="5" t="s">
        <v>39</v>
      </c>
      <c r="E6" s="5" t="s">
        <v>27</v>
      </c>
      <c r="F6" s="5">
        <v>5</v>
      </c>
      <c r="G6" s="5">
        <v>5</v>
      </c>
      <c r="H6" s="5">
        <v>36.4</v>
      </c>
      <c r="I6" s="5">
        <v>9.6</v>
      </c>
      <c r="J6" s="5">
        <v>19.399999999999999</v>
      </c>
      <c r="K6" s="6">
        <f>IFERROR(database_24_25!$I6/database_24_25!$J6,0)</f>
        <v>0.49484536082474229</v>
      </c>
      <c r="L6" s="5">
        <v>2.2000000000000002</v>
      </c>
      <c r="M6" s="5">
        <v>6.4</v>
      </c>
      <c r="N6" s="6">
        <f>IFERROR(database_24_25!$L6/database_24_25!$M6,0)</f>
        <v>0.34375</v>
      </c>
      <c r="O6" s="5">
        <v>7.4</v>
      </c>
      <c r="P6" s="5">
        <f>database_24_25!$Q6/10</f>
        <v>13</v>
      </c>
      <c r="Q6" s="5">
        <v>130</v>
      </c>
      <c r="R6" s="6">
        <f>IFERROR(database_24_25!$O6/database_24_25!$P6,0)</f>
        <v>0.56923076923076921</v>
      </c>
      <c r="S6" s="5">
        <v>7.6</v>
      </c>
      <c r="T6" s="5">
        <v>11.8</v>
      </c>
      <c r="U6" s="6">
        <f>IFERROR(database_24_25!$S6/database_24_25!$T6,0)</f>
        <v>0.64406779661016944</v>
      </c>
      <c r="V6" s="5">
        <v>2.4</v>
      </c>
      <c r="W6" s="5">
        <v>6.4</v>
      </c>
      <c r="X6" s="5">
        <v>8.8000000000000007</v>
      </c>
      <c r="Y6" s="5">
        <v>5.6</v>
      </c>
      <c r="Z6" s="5">
        <v>0.6</v>
      </c>
      <c r="AA6" s="5">
        <v>0.8</v>
      </c>
      <c r="AB6" s="5">
        <v>2.2000000000000002</v>
      </c>
      <c r="AC6" s="5">
        <v>2.6</v>
      </c>
      <c r="AD6" s="5">
        <v>29</v>
      </c>
    </row>
    <row r="7" spans="1:30" x14ac:dyDescent="0.25">
      <c r="A7" s="7">
        <v>60</v>
      </c>
      <c r="B7" s="7" t="s">
        <v>40</v>
      </c>
      <c r="C7" s="7">
        <v>26</v>
      </c>
      <c r="D7" s="7" t="s">
        <v>41</v>
      </c>
      <c r="E7" s="7" t="s">
        <v>27</v>
      </c>
      <c r="F7" s="7">
        <v>32</v>
      </c>
      <c r="G7" s="7">
        <v>32</v>
      </c>
      <c r="H7" s="7">
        <v>36.299999999999997</v>
      </c>
      <c r="I7" s="7">
        <v>9.4</v>
      </c>
      <c r="J7" s="7">
        <v>20.2</v>
      </c>
      <c r="K7" s="6">
        <f>IFERROR(database_24_25!$I7/database_24_25!$J7,0)</f>
        <v>0.46534653465346537</v>
      </c>
      <c r="L7" s="7">
        <v>3.9</v>
      </c>
      <c r="M7" s="7">
        <v>10.7</v>
      </c>
      <c r="N7" s="6">
        <f>IFERROR(database_24_25!$L7/database_24_25!$M7,0)</f>
        <v>0.36448598130841126</v>
      </c>
      <c r="O7" s="7">
        <v>5.4</v>
      </c>
      <c r="P7" s="5">
        <f>database_24_25!$Q7/10</f>
        <v>9.6</v>
      </c>
      <c r="Q7" s="7">
        <v>96</v>
      </c>
      <c r="R7" s="6">
        <f>IFERROR(database_24_25!$O7/database_24_25!$P7,0)</f>
        <v>0.56250000000000011</v>
      </c>
      <c r="S7" s="7">
        <v>5.5</v>
      </c>
      <c r="T7" s="7">
        <v>6.9</v>
      </c>
      <c r="U7" s="6">
        <f>IFERROR(database_24_25!$S7/database_24_25!$T7,0)</f>
        <v>0.79710144927536231</v>
      </c>
      <c r="V7" s="7">
        <v>0.6</v>
      </c>
      <c r="W7" s="7">
        <v>8.8000000000000007</v>
      </c>
      <c r="X7" s="7">
        <v>9.4</v>
      </c>
      <c r="Y7" s="7">
        <v>5.6</v>
      </c>
      <c r="Z7" s="7">
        <v>1.3</v>
      </c>
      <c r="AA7" s="7">
        <v>0.4</v>
      </c>
      <c r="AB7" s="7">
        <v>2.8</v>
      </c>
      <c r="AC7" s="7">
        <v>2.5</v>
      </c>
      <c r="AD7" s="7">
        <v>28.2</v>
      </c>
    </row>
    <row r="8" spans="1:30" x14ac:dyDescent="0.25">
      <c r="A8" s="5">
        <v>70</v>
      </c>
      <c r="B8" s="5" t="s">
        <v>42</v>
      </c>
      <c r="C8" s="5">
        <v>25</v>
      </c>
      <c r="D8" s="5" t="s">
        <v>43</v>
      </c>
      <c r="E8" s="5" t="s">
        <v>32</v>
      </c>
      <c r="F8" s="5">
        <v>22</v>
      </c>
      <c r="G8" s="5">
        <v>22</v>
      </c>
      <c r="H8" s="5">
        <v>35.700000000000003</v>
      </c>
      <c r="I8" s="5">
        <v>9.8000000000000007</v>
      </c>
      <c r="J8" s="5">
        <v>21.2</v>
      </c>
      <c r="K8" s="6">
        <f>IFERROR(database_24_25!$I8/database_24_25!$J8,0)</f>
        <v>0.46226415094339629</v>
      </c>
      <c r="L8" s="5">
        <v>3.4</v>
      </c>
      <c r="M8" s="5">
        <v>9.6</v>
      </c>
      <c r="N8" s="6">
        <f>IFERROR(database_24_25!$L8/database_24_25!$M8,0)</f>
        <v>0.35416666666666669</v>
      </c>
      <c r="O8" s="5">
        <v>6.4</v>
      </c>
      <c r="P8" s="5">
        <f>database_24_25!$Q8/10</f>
        <v>11.5</v>
      </c>
      <c r="Q8" s="5">
        <v>115</v>
      </c>
      <c r="R8" s="6">
        <f>IFERROR(database_24_25!$O8/database_24_25!$P8,0)</f>
        <v>0.55652173913043479</v>
      </c>
      <c r="S8" s="5">
        <v>5.0999999999999996</v>
      </c>
      <c r="T8" s="5">
        <v>6.6</v>
      </c>
      <c r="U8" s="6">
        <f>IFERROR(database_24_25!$S8/database_24_25!$T8,0)</f>
        <v>0.77272727272727271</v>
      </c>
      <c r="V8" s="5">
        <v>0.7</v>
      </c>
      <c r="W8" s="5">
        <v>7.6</v>
      </c>
      <c r="X8" s="5">
        <v>8.3000000000000007</v>
      </c>
      <c r="Y8" s="5">
        <v>7.8</v>
      </c>
      <c r="Z8" s="5">
        <v>2</v>
      </c>
      <c r="AA8" s="5">
        <v>0.4</v>
      </c>
      <c r="AB8" s="5">
        <v>3.4</v>
      </c>
      <c r="AC8" s="5">
        <v>2.6</v>
      </c>
      <c r="AD8" s="5">
        <v>28.1</v>
      </c>
    </row>
    <row r="9" spans="1:30" x14ac:dyDescent="0.25">
      <c r="A9" s="7">
        <v>80</v>
      </c>
      <c r="B9" s="7" t="s">
        <v>44</v>
      </c>
      <c r="C9" s="7">
        <v>36</v>
      </c>
      <c r="D9" s="7" t="s">
        <v>45</v>
      </c>
      <c r="E9" s="7" t="s">
        <v>27</v>
      </c>
      <c r="F9" s="7">
        <v>22</v>
      </c>
      <c r="G9" s="7">
        <v>22</v>
      </c>
      <c r="H9" s="7">
        <v>36</v>
      </c>
      <c r="I9" s="7">
        <v>9.8000000000000007</v>
      </c>
      <c r="J9" s="7">
        <v>19.100000000000001</v>
      </c>
      <c r="K9" s="6">
        <f>IFERROR(database_24_25!$I9/database_24_25!$J9,0)</f>
        <v>0.51308900523560208</v>
      </c>
      <c r="L9" s="7">
        <v>2.4</v>
      </c>
      <c r="M9" s="7">
        <v>5.9</v>
      </c>
      <c r="N9" s="6">
        <f>IFERROR(database_24_25!$L9/database_24_25!$M9,0)</f>
        <v>0.40677966101694912</v>
      </c>
      <c r="O9" s="7">
        <v>7.4</v>
      </c>
      <c r="P9" s="5">
        <f>database_24_25!$Q9/10</f>
        <v>13.2</v>
      </c>
      <c r="Q9" s="7">
        <v>132</v>
      </c>
      <c r="R9" s="6">
        <f>IFERROR(database_24_25!$O9/database_24_25!$P9,0)</f>
        <v>0.56060606060606066</v>
      </c>
      <c r="S9" s="7">
        <v>5.8</v>
      </c>
      <c r="T9" s="7">
        <v>6.9</v>
      </c>
      <c r="U9" s="6">
        <f>IFERROR(database_24_25!$S9/database_24_25!$T9,0)</f>
        <v>0.84057971014492749</v>
      </c>
      <c r="V9" s="7">
        <v>0.5</v>
      </c>
      <c r="W9" s="7">
        <v>6</v>
      </c>
      <c r="X9" s="7">
        <v>6.5</v>
      </c>
      <c r="Y9" s="7">
        <v>3.8</v>
      </c>
      <c r="Z9" s="7">
        <v>0.8</v>
      </c>
      <c r="AA9" s="7">
        <v>1.3</v>
      </c>
      <c r="AB9" s="7">
        <v>3.3</v>
      </c>
      <c r="AC9" s="7">
        <v>1.8</v>
      </c>
      <c r="AD9" s="7">
        <v>27.7</v>
      </c>
    </row>
    <row r="10" spans="1:30" x14ac:dyDescent="0.25">
      <c r="A10" s="5">
        <v>90</v>
      </c>
      <c r="B10" s="5" t="s">
        <v>46</v>
      </c>
      <c r="C10" s="5">
        <v>27</v>
      </c>
      <c r="D10" s="5" t="s">
        <v>47</v>
      </c>
      <c r="E10" s="5" t="s">
        <v>32</v>
      </c>
      <c r="F10" s="5">
        <v>35</v>
      </c>
      <c r="G10" s="5">
        <v>35</v>
      </c>
      <c r="H10" s="5">
        <v>37.299999999999997</v>
      </c>
      <c r="I10" s="5">
        <v>9.9</v>
      </c>
      <c r="J10" s="5">
        <v>20.3</v>
      </c>
      <c r="K10" s="6">
        <f>IFERROR(database_24_25!$I10/database_24_25!$J10,0)</f>
        <v>0.48768472906403942</v>
      </c>
      <c r="L10" s="5">
        <v>2</v>
      </c>
      <c r="M10" s="5">
        <v>6.3</v>
      </c>
      <c r="N10" s="6">
        <f>IFERROR(database_24_25!$L10/database_24_25!$M10,0)</f>
        <v>0.31746031746031744</v>
      </c>
      <c r="O10" s="5">
        <v>7.8</v>
      </c>
      <c r="P10" s="5">
        <f>database_24_25!$Q10/10</f>
        <v>14</v>
      </c>
      <c r="Q10" s="5">
        <v>140</v>
      </c>
      <c r="R10" s="6">
        <f>IFERROR(database_24_25!$O10/database_24_25!$P10,0)</f>
        <v>0.55714285714285716</v>
      </c>
      <c r="S10" s="5">
        <v>4.9000000000000004</v>
      </c>
      <c r="T10" s="5">
        <v>6.1</v>
      </c>
      <c r="U10" s="6">
        <f>IFERROR(database_24_25!$S10/database_24_25!$T10,0)</f>
        <v>0.80327868852459028</v>
      </c>
      <c r="V10" s="5">
        <v>1.1000000000000001</v>
      </c>
      <c r="W10" s="5">
        <v>3.9</v>
      </c>
      <c r="X10" s="5">
        <v>4.9000000000000004</v>
      </c>
      <c r="Y10" s="5">
        <v>6.2</v>
      </c>
      <c r="Z10" s="5">
        <v>1.6</v>
      </c>
      <c r="AA10" s="5">
        <v>0.3</v>
      </c>
      <c r="AB10" s="5">
        <v>3.3</v>
      </c>
      <c r="AC10" s="5">
        <v>2.8</v>
      </c>
      <c r="AD10" s="5">
        <v>26.7</v>
      </c>
    </row>
    <row r="11" spans="1:30" x14ac:dyDescent="0.25">
      <c r="A11" s="7">
        <v>100</v>
      </c>
      <c r="B11" s="7" t="s">
        <v>48</v>
      </c>
      <c r="C11" s="7">
        <v>21</v>
      </c>
      <c r="D11" s="7" t="s">
        <v>49</v>
      </c>
      <c r="E11" s="7" t="s">
        <v>35</v>
      </c>
      <c r="F11" s="7">
        <v>29</v>
      </c>
      <c r="G11" s="7">
        <v>29</v>
      </c>
      <c r="H11" s="7">
        <v>32.9</v>
      </c>
      <c r="I11" s="7">
        <v>9.3000000000000007</v>
      </c>
      <c r="J11" s="7">
        <v>19.2</v>
      </c>
      <c r="K11" s="6">
        <f>IFERROR(database_24_25!$I11/database_24_25!$J11,0)</f>
        <v>0.48437500000000006</v>
      </c>
      <c r="L11" s="7">
        <v>3.3</v>
      </c>
      <c r="M11" s="7">
        <v>9.1999999999999993</v>
      </c>
      <c r="N11" s="6">
        <f>IFERROR(database_24_25!$L11/database_24_25!$M11,0)</f>
        <v>0.35869565217391303</v>
      </c>
      <c r="O11" s="7">
        <v>6</v>
      </c>
      <c r="P11" s="5">
        <f>database_24_25!$Q11/10</f>
        <v>10</v>
      </c>
      <c r="Q11" s="7">
        <v>100</v>
      </c>
      <c r="R11" s="6">
        <f>IFERROR(database_24_25!$O11/database_24_25!$P11,0)</f>
        <v>0.6</v>
      </c>
      <c r="S11" s="7">
        <v>3.9</v>
      </c>
      <c r="T11" s="7">
        <v>4.4000000000000004</v>
      </c>
      <c r="U11" s="6">
        <f>IFERROR(database_24_25!$S11/database_24_25!$T11,0)</f>
        <v>0.88636363636363624</v>
      </c>
      <c r="V11" s="7">
        <v>1.9</v>
      </c>
      <c r="W11" s="7">
        <v>8.4</v>
      </c>
      <c r="X11" s="7">
        <v>10.3</v>
      </c>
      <c r="Y11" s="7">
        <v>3.9</v>
      </c>
      <c r="Z11" s="7">
        <v>1</v>
      </c>
      <c r="AA11" s="7">
        <v>3.9</v>
      </c>
      <c r="AB11" s="7">
        <v>3.6</v>
      </c>
      <c r="AC11" s="7">
        <v>2.1</v>
      </c>
      <c r="AD11" s="7">
        <v>25.9</v>
      </c>
    </row>
    <row r="12" spans="1:30" x14ac:dyDescent="0.25">
      <c r="A12" s="5">
        <v>110</v>
      </c>
      <c r="B12" s="5" t="s">
        <v>50</v>
      </c>
      <c r="C12" s="5">
        <v>31</v>
      </c>
      <c r="D12" s="5" t="s">
        <v>51</v>
      </c>
      <c r="E12" s="5" t="s">
        <v>35</v>
      </c>
      <c r="F12" s="5">
        <v>32</v>
      </c>
      <c r="G12" s="5">
        <v>32</v>
      </c>
      <c r="H12" s="5">
        <v>34.799999999999997</v>
      </c>
      <c r="I12" s="5">
        <v>9.4</v>
      </c>
      <c r="J12" s="5">
        <v>18</v>
      </c>
      <c r="K12" s="6">
        <f>IFERROR(database_24_25!$I12/database_24_25!$J12,0)</f>
        <v>0.52222222222222225</v>
      </c>
      <c r="L12" s="5">
        <v>0.7</v>
      </c>
      <c r="M12" s="5">
        <v>2.2000000000000002</v>
      </c>
      <c r="N12" s="6">
        <f>IFERROR(database_24_25!$L12/database_24_25!$M12,0)</f>
        <v>0.31818181818181812</v>
      </c>
      <c r="O12" s="5">
        <v>8.6999999999999993</v>
      </c>
      <c r="P12" s="5">
        <f>database_24_25!$Q12/10</f>
        <v>15.8</v>
      </c>
      <c r="Q12" s="5">
        <v>158</v>
      </c>
      <c r="R12" s="6">
        <f>IFERROR(database_24_25!$O12/database_24_25!$P12,0)</f>
        <v>0.550632911392405</v>
      </c>
      <c r="S12" s="5">
        <v>6.4</v>
      </c>
      <c r="T12" s="5">
        <v>8.1999999999999993</v>
      </c>
      <c r="U12" s="6">
        <f>IFERROR(database_24_25!$S12/database_24_25!$T12,0)</f>
        <v>0.78048780487804892</v>
      </c>
      <c r="V12" s="5">
        <v>2.6</v>
      </c>
      <c r="W12" s="5">
        <v>9.1999999999999993</v>
      </c>
      <c r="X12" s="5">
        <v>11.8</v>
      </c>
      <c r="Y12" s="5">
        <v>3.6</v>
      </c>
      <c r="Z12" s="5">
        <v>1.3</v>
      </c>
      <c r="AA12" s="5">
        <v>2.1</v>
      </c>
      <c r="AB12" s="5">
        <v>2.2999999999999998</v>
      </c>
      <c r="AC12" s="5">
        <v>1.9</v>
      </c>
      <c r="AD12" s="5">
        <v>25.8</v>
      </c>
    </row>
    <row r="13" spans="1:30" x14ac:dyDescent="0.25">
      <c r="A13" s="7">
        <v>120</v>
      </c>
      <c r="B13" s="7" t="s">
        <v>52</v>
      </c>
      <c r="C13" s="7">
        <v>24</v>
      </c>
      <c r="D13" s="7" t="s">
        <v>53</v>
      </c>
      <c r="E13" s="7" t="s">
        <v>32</v>
      </c>
      <c r="F13" s="7">
        <v>26</v>
      </c>
      <c r="G13" s="7">
        <v>26</v>
      </c>
      <c r="H13" s="7">
        <v>37.200000000000003</v>
      </c>
      <c r="I13" s="7">
        <v>8.8000000000000007</v>
      </c>
      <c r="J13" s="7">
        <v>20.8</v>
      </c>
      <c r="K13" s="6">
        <f>IFERROR(database_24_25!$I13/database_24_25!$J13,0)</f>
        <v>0.42307692307692307</v>
      </c>
      <c r="L13" s="7">
        <v>3.2</v>
      </c>
      <c r="M13" s="7">
        <v>9.4</v>
      </c>
      <c r="N13" s="6">
        <f>IFERROR(database_24_25!$L13/database_24_25!$M13,0)</f>
        <v>0.34042553191489361</v>
      </c>
      <c r="O13" s="7">
        <v>5.6</v>
      </c>
      <c r="P13" s="5">
        <f>database_24_25!$Q13/10</f>
        <v>11.5</v>
      </c>
      <c r="Q13" s="7">
        <v>115</v>
      </c>
      <c r="R13" s="6">
        <f>IFERROR(database_24_25!$O13/database_24_25!$P13,0)</f>
        <v>0.4869565217391304</v>
      </c>
      <c r="S13" s="7">
        <v>4.7</v>
      </c>
      <c r="T13" s="7">
        <v>5.6</v>
      </c>
      <c r="U13" s="6">
        <f>IFERROR(database_24_25!$S13/database_24_25!$T13,0)</f>
        <v>0.83928571428571441</v>
      </c>
      <c r="V13" s="7">
        <v>0.2</v>
      </c>
      <c r="W13" s="7">
        <v>3.3</v>
      </c>
      <c r="X13" s="7">
        <v>3.5</v>
      </c>
      <c r="Y13" s="7">
        <v>5.4</v>
      </c>
      <c r="Z13" s="7">
        <v>2.2000000000000002</v>
      </c>
      <c r="AA13" s="7">
        <v>0.5</v>
      </c>
      <c r="AB13" s="7">
        <v>2.2999999999999998</v>
      </c>
      <c r="AC13" s="7">
        <v>2.4</v>
      </c>
      <c r="AD13" s="7">
        <v>25.5</v>
      </c>
    </row>
    <row r="14" spans="1:30" x14ac:dyDescent="0.25">
      <c r="A14" s="7">
        <v>130</v>
      </c>
      <c r="B14" s="7" t="s">
        <v>54</v>
      </c>
      <c r="C14" s="7">
        <v>28</v>
      </c>
      <c r="D14" s="7" t="s">
        <v>55</v>
      </c>
      <c r="E14" s="7" t="s">
        <v>32</v>
      </c>
      <c r="F14" s="7">
        <v>34</v>
      </c>
      <c r="G14" s="7">
        <v>34</v>
      </c>
      <c r="H14" s="7">
        <v>35.1</v>
      </c>
      <c r="I14" s="7">
        <v>8.6</v>
      </c>
      <c r="J14" s="7">
        <v>17.899999999999999</v>
      </c>
      <c r="K14" s="6">
        <f>IFERROR(database_24_25!$I14/database_24_25!$J14,0)</f>
        <v>0.48044692737430167</v>
      </c>
      <c r="L14" s="7">
        <v>2.4</v>
      </c>
      <c r="M14" s="7">
        <v>6.2</v>
      </c>
      <c r="N14" s="6">
        <f>IFERROR(database_24_25!$L14/database_24_25!$M14,0)</f>
        <v>0.38709677419354838</v>
      </c>
      <c r="O14" s="7">
        <v>6.1</v>
      </c>
      <c r="P14" s="5">
        <f>database_24_25!$Q14/10</f>
        <v>11.7</v>
      </c>
      <c r="Q14" s="7">
        <v>117</v>
      </c>
      <c r="R14" s="6">
        <f>IFERROR(database_24_25!$O14/database_24_25!$P14,0)</f>
        <v>0.5213675213675214</v>
      </c>
      <c r="S14" s="7">
        <v>5.5</v>
      </c>
      <c r="T14" s="7">
        <v>6.7</v>
      </c>
      <c r="U14" s="6">
        <f>IFERROR(database_24_25!$S14/database_24_25!$T14,0)</f>
        <v>0.82089552238805963</v>
      </c>
      <c r="V14" s="7">
        <v>0.4</v>
      </c>
      <c r="W14" s="7">
        <v>2.5</v>
      </c>
      <c r="X14" s="7">
        <v>3</v>
      </c>
      <c r="Y14" s="7">
        <v>7.7</v>
      </c>
      <c r="Z14" s="7">
        <v>0.8</v>
      </c>
      <c r="AA14" s="7">
        <v>0.1</v>
      </c>
      <c r="AB14" s="7">
        <v>2.4</v>
      </c>
      <c r="AC14" s="7">
        <v>2.2000000000000002</v>
      </c>
      <c r="AD14" s="7">
        <v>25.1</v>
      </c>
    </row>
    <row r="15" spans="1:30" x14ac:dyDescent="0.25">
      <c r="A15" s="5">
        <v>140</v>
      </c>
      <c r="B15" s="5" t="s">
        <v>56</v>
      </c>
      <c r="C15" s="5">
        <v>34</v>
      </c>
      <c r="D15" s="5" t="s">
        <v>29</v>
      </c>
      <c r="E15" s="5" t="s">
        <v>32</v>
      </c>
      <c r="F15" s="5">
        <v>25</v>
      </c>
      <c r="G15" s="5">
        <v>25</v>
      </c>
      <c r="H15" s="5">
        <v>36.5</v>
      </c>
      <c r="I15" s="5">
        <v>7.6</v>
      </c>
      <c r="J15" s="5">
        <v>17.600000000000001</v>
      </c>
      <c r="K15" s="6">
        <f>IFERROR(database_24_25!$I15/database_24_25!$J15,0)</f>
        <v>0.43181818181818177</v>
      </c>
      <c r="L15" s="5">
        <v>3.4</v>
      </c>
      <c r="M15" s="5">
        <v>9.4</v>
      </c>
      <c r="N15" s="6">
        <f>IFERROR(database_24_25!$L15/database_24_25!$M15,0)</f>
        <v>0.36170212765957444</v>
      </c>
      <c r="O15" s="5">
        <v>4.2</v>
      </c>
      <c r="P15" s="5">
        <f>database_24_25!$Q15/10</f>
        <v>8.1999999999999993</v>
      </c>
      <c r="Q15" s="5">
        <v>82</v>
      </c>
      <c r="R15" s="6">
        <f>IFERROR(database_24_25!$O15/database_24_25!$P15,0)</f>
        <v>0.51219512195121952</v>
      </c>
      <c r="S15" s="5">
        <v>6.4</v>
      </c>
      <c r="T15" s="5">
        <v>6.9</v>
      </c>
      <c r="U15" s="6">
        <f>IFERROR(database_24_25!$S15/database_24_25!$T15,0)</f>
        <v>0.92753623188405798</v>
      </c>
      <c r="V15" s="5">
        <v>0.6</v>
      </c>
      <c r="W15" s="5">
        <v>3.8</v>
      </c>
      <c r="X15" s="5">
        <v>4.5</v>
      </c>
      <c r="Y15" s="5">
        <v>7.6</v>
      </c>
      <c r="Z15" s="5">
        <v>1.1000000000000001</v>
      </c>
      <c r="AA15" s="5">
        <v>0.2</v>
      </c>
      <c r="AB15" s="5">
        <v>2.9</v>
      </c>
      <c r="AC15" s="5">
        <v>1.9</v>
      </c>
      <c r="AD15" s="5">
        <v>25.1</v>
      </c>
    </row>
    <row r="16" spans="1:30" x14ac:dyDescent="0.25">
      <c r="A16" s="7">
        <v>150</v>
      </c>
      <c r="B16" s="7" t="s">
        <v>57</v>
      </c>
      <c r="C16" s="7">
        <v>28</v>
      </c>
      <c r="D16" s="7" t="s">
        <v>45</v>
      </c>
      <c r="E16" s="7" t="s">
        <v>58</v>
      </c>
      <c r="F16" s="7">
        <v>27</v>
      </c>
      <c r="G16" s="7">
        <v>27</v>
      </c>
      <c r="H16" s="7">
        <v>36.299999999999997</v>
      </c>
      <c r="I16" s="7">
        <v>7.8</v>
      </c>
      <c r="J16" s="7">
        <v>18.2</v>
      </c>
      <c r="K16" s="6">
        <f>IFERROR(database_24_25!$I16/database_24_25!$J16,0)</f>
        <v>0.4285714285714286</v>
      </c>
      <c r="L16" s="7">
        <v>2.6</v>
      </c>
      <c r="M16" s="7">
        <v>7.7</v>
      </c>
      <c r="N16" s="6">
        <f>IFERROR(database_24_25!$L16/database_24_25!$M16,0)</f>
        <v>0.33766233766233766</v>
      </c>
      <c r="O16" s="7">
        <v>5.2</v>
      </c>
      <c r="P16" s="5">
        <f>database_24_25!$Q16/10</f>
        <v>10.5</v>
      </c>
      <c r="Q16" s="7">
        <v>105</v>
      </c>
      <c r="R16" s="6">
        <f>IFERROR(database_24_25!$O16/database_24_25!$P16,0)</f>
        <v>0.49523809523809526</v>
      </c>
      <c r="S16" s="7">
        <v>6.5</v>
      </c>
      <c r="T16" s="7">
        <v>7.2</v>
      </c>
      <c r="U16" s="6">
        <f>IFERROR(database_24_25!$S16/database_24_25!$T16,0)</f>
        <v>0.90277777777777779</v>
      </c>
      <c r="V16" s="7">
        <v>1.1000000000000001</v>
      </c>
      <c r="W16" s="7">
        <v>2.5</v>
      </c>
      <c r="X16" s="7">
        <v>3.7</v>
      </c>
      <c r="Y16" s="7">
        <v>6.5</v>
      </c>
      <c r="Z16" s="7">
        <v>1.1000000000000001</v>
      </c>
      <c r="AA16" s="7">
        <v>0.3</v>
      </c>
      <c r="AB16" s="7">
        <v>2.2999999999999998</v>
      </c>
      <c r="AC16" s="7">
        <v>2.1</v>
      </c>
      <c r="AD16" s="7">
        <v>24.7</v>
      </c>
    </row>
    <row r="17" spans="1:30" x14ac:dyDescent="0.25">
      <c r="A17" s="5">
        <v>170</v>
      </c>
      <c r="B17" s="5" t="s">
        <v>61</v>
      </c>
      <c r="C17" s="5">
        <v>29</v>
      </c>
      <c r="D17" s="5" t="s">
        <v>55</v>
      </c>
      <c r="E17" s="5" t="s">
        <v>35</v>
      </c>
      <c r="F17" s="5">
        <v>33</v>
      </c>
      <c r="G17" s="5">
        <v>33</v>
      </c>
      <c r="H17" s="5">
        <v>34.5</v>
      </c>
      <c r="I17" s="5">
        <v>8.8000000000000007</v>
      </c>
      <c r="J17" s="5">
        <v>16.2</v>
      </c>
      <c r="K17" s="6">
        <f>IFERROR(database_24_25!$I17/database_24_25!$J17,0)</f>
        <v>0.54320987654320996</v>
      </c>
      <c r="L17" s="5">
        <v>2.1</v>
      </c>
      <c r="M17" s="5">
        <v>4.8</v>
      </c>
      <c r="N17" s="6">
        <f>IFERROR(database_24_25!$L17/database_24_25!$M17,0)</f>
        <v>0.43750000000000006</v>
      </c>
      <c r="O17" s="5">
        <v>6.7</v>
      </c>
      <c r="P17" s="5">
        <f>database_24_25!$Q17/10</f>
        <v>11.3</v>
      </c>
      <c r="Q17" s="5">
        <v>113</v>
      </c>
      <c r="R17" s="6">
        <f>IFERROR(database_24_25!$O17/database_24_25!$P17,0)</f>
        <v>0.59292035398230092</v>
      </c>
      <c r="S17" s="5">
        <v>4.9000000000000004</v>
      </c>
      <c r="T17" s="5">
        <v>5.8</v>
      </c>
      <c r="U17" s="6">
        <f>IFERROR(database_24_25!$S17/database_24_25!$T17,0)</f>
        <v>0.84482758620689669</v>
      </c>
      <c r="V17" s="5">
        <v>2.9</v>
      </c>
      <c r="W17" s="5">
        <v>11.1</v>
      </c>
      <c r="X17" s="5">
        <v>14</v>
      </c>
      <c r="Y17" s="5">
        <v>3.3</v>
      </c>
      <c r="Z17" s="5">
        <v>0.9</v>
      </c>
      <c r="AA17" s="5">
        <v>0.9</v>
      </c>
      <c r="AB17" s="5">
        <v>2.5</v>
      </c>
      <c r="AC17" s="5">
        <v>3.6</v>
      </c>
      <c r="AD17" s="5">
        <v>24.7</v>
      </c>
    </row>
    <row r="18" spans="1:30" x14ac:dyDescent="0.25">
      <c r="A18" s="5">
        <v>160</v>
      </c>
      <c r="B18" s="5" t="s">
        <v>59</v>
      </c>
      <c r="C18" s="5">
        <v>23</v>
      </c>
      <c r="D18" s="5" t="s">
        <v>60</v>
      </c>
      <c r="E18" s="5" t="s">
        <v>58</v>
      </c>
      <c r="F18" s="5">
        <v>19</v>
      </c>
      <c r="G18" s="5">
        <v>17</v>
      </c>
      <c r="H18" s="5">
        <v>32.299999999999997</v>
      </c>
      <c r="I18" s="5">
        <v>7.9</v>
      </c>
      <c r="J18" s="5">
        <v>17.7</v>
      </c>
      <c r="K18" s="6">
        <f>IFERROR(database_24_25!$I18/database_24_25!$J18,0)</f>
        <v>0.44632768361581926</v>
      </c>
      <c r="L18" s="5">
        <v>2.8</v>
      </c>
      <c r="M18" s="5">
        <v>7.6</v>
      </c>
      <c r="N18" s="6">
        <f>IFERROR(database_24_25!$L18/database_24_25!$M18,0)</f>
        <v>0.36842105263157893</v>
      </c>
      <c r="O18" s="5">
        <v>5.0999999999999996</v>
      </c>
      <c r="P18" s="5">
        <f>database_24_25!$Q18/10</f>
        <v>10.199999999999999</v>
      </c>
      <c r="Q18" s="5">
        <v>102</v>
      </c>
      <c r="R18" s="6">
        <f>IFERROR(database_24_25!$O18/database_24_25!$P18,0)</f>
        <v>0.5</v>
      </c>
      <c r="S18" s="5">
        <v>5.9</v>
      </c>
      <c r="T18" s="5">
        <v>6.8</v>
      </c>
      <c r="U18" s="6">
        <f>IFERROR(database_24_25!$S18/database_24_25!$T18,0)</f>
        <v>0.86764705882352944</v>
      </c>
      <c r="V18" s="5">
        <v>0.5</v>
      </c>
      <c r="W18" s="5">
        <v>3.1</v>
      </c>
      <c r="X18" s="5">
        <v>3.6</v>
      </c>
      <c r="Y18" s="5">
        <v>3.4</v>
      </c>
      <c r="Z18" s="5">
        <v>0.7</v>
      </c>
      <c r="AA18" s="5">
        <v>0.1</v>
      </c>
      <c r="AB18" s="5">
        <v>2.7</v>
      </c>
      <c r="AC18" s="5">
        <v>1.9</v>
      </c>
      <c r="AD18" s="5">
        <v>24.7</v>
      </c>
    </row>
    <row r="19" spans="1:30" x14ac:dyDescent="0.25">
      <c r="A19" s="7">
        <v>180</v>
      </c>
      <c r="B19" s="7" t="s">
        <v>62</v>
      </c>
      <c r="C19" s="7">
        <v>23</v>
      </c>
      <c r="D19" s="7" t="s">
        <v>63</v>
      </c>
      <c r="E19" s="7" t="s">
        <v>58</v>
      </c>
      <c r="F19" s="7">
        <v>33</v>
      </c>
      <c r="G19" s="7">
        <v>33</v>
      </c>
      <c r="H19" s="7">
        <v>36.1</v>
      </c>
      <c r="I19" s="7">
        <v>8.6999999999999993</v>
      </c>
      <c r="J19" s="7">
        <v>19.8</v>
      </c>
      <c r="K19" s="6">
        <f>IFERROR(database_24_25!$I19/database_24_25!$J19,0)</f>
        <v>0.43939393939393934</v>
      </c>
      <c r="L19" s="7">
        <v>4</v>
      </c>
      <c r="M19" s="7">
        <v>9.6999999999999993</v>
      </c>
      <c r="N19" s="6">
        <f>IFERROR(database_24_25!$L19/database_24_25!$M19,0)</f>
        <v>0.41237113402061859</v>
      </c>
      <c r="O19" s="7">
        <v>4.7</v>
      </c>
      <c r="P19" s="5">
        <f>database_24_25!$Q19/10</f>
        <v>10.1</v>
      </c>
      <c r="Q19" s="7">
        <v>101</v>
      </c>
      <c r="R19" s="6">
        <f>IFERROR(database_24_25!$O19/database_24_25!$P19,0)</f>
        <v>0.46534653465346537</v>
      </c>
      <c r="S19" s="7">
        <v>3.1</v>
      </c>
      <c r="T19" s="7">
        <v>3.8</v>
      </c>
      <c r="U19" s="6">
        <f>IFERROR(database_24_25!$S19/database_24_25!$T19,0)</f>
        <v>0.81578947368421062</v>
      </c>
      <c r="V19" s="7">
        <v>0.6</v>
      </c>
      <c r="W19" s="7">
        <v>5</v>
      </c>
      <c r="X19" s="7">
        <v>5.6</v>
      </c>
      <c r="Y19" s="7">
        <v>4</v>
      </c>
      <c r="Z19" s="7">
        <v>1.2</v>
      </c>
      <c r="AA19" s="7">
        <v>0.6</v>
      </c>
      <c r="AB19" s="7">
        <v>3</v>
      </c>
      <c r="AC19" s="7">
        <v>1.9</v>
      </c>
      <c r="AD19" s="7">
        <v>24.5</v>
      </c>
    </row>
    <row r="20" spans="1:30" x14ac:dyDescent="0.25">
      <c r="A20" s="5">
        <v>200</v>
      </c>
      <c r="B20" s="5" t="s">
        <v>66</v>
      </c>
      <c r="C20" s="5">
        <v>23</v>
      </c>
      <c r="D20" s="5" t="s">
        <v>39</v>
      </c>
      <c r="E20" s="5" t="s">
        <v>65</v>
      </c>
      <c r="F20" s="5">
        <v>25</v>
      </c>
      <c r="G20" s="5">
        <v>25</v>
      </c>
      <c r="H20" s="5">
        <v>33.200000000000003</v>
      </c>
      <c r="I20" s="5">
        <v>8.8000000000000007</v>
      </c>
      <c r="J20" s="5">
        <v>18.899999999999999</v>
      </c>
      <c r="K20" s="6">
        <f>IFERROR(database_24_25!$I20/database_24_25!$J20,0)</f>
        <v>0.46560846560846569</v>
      </c>
      <c r="L20" s="5">
        <v>2</v>
      </c>
      <c r="M20" s="5">
        <v>6.4</v>
      </c>
      <c r="N20" s="6">
        <f>IFERROR(database_24_25!$L20/database_24_25!$M20,0)</f>
        <v>0.3125</v>
      </c>
      <c r="O20" s="5">
        <v>6.8</v>
      </c>
      <c r="P20" s="5">
        <f>database_24_25!$Q20/10</f>
        <v>12.6</v>
      </c>
      <c r="Q20" s="5">
        <v>126</v>
      </c>
      <c r="R20" s="6">
        <f>IFERROR(database_24_25!$O20/database_24_25!$P20,0)</f>
        <v>0.53968253968253965</v>
      </c>
      <c r="S20" s="5">
        <v>4.8</v>
      </c>
      <c r="T20" s="5">
        <v>5.4</v>
      </c>
      <c r="U20" s="6">
        <f>IFERROR(database_24_25!$S20/database_24_25!$T20,0)</f>
        <v>0.88888888888888884</v>
      </c>
      <c r="V20" s="5">
        <v>0.9</v>
      </c>
      <c r="W20" s="5">
        <v>4.7</v>
      </c>
      <c r="X20" s="5">
        <v>5.6</v>
      </c>
      <c r="Y20" s="5">
        <v>5.7</v>
      </c>
      <c r="Z20" s="5">
        <v>1.7</v>
      </c>
      <c r="AA20" s="5">
        <v>0.5</v>
      </c>
      <c r="AB20" s="5">
        <v>2.4</v>
      </c>
      <c r="AC20" s="5">
        <v>2.2999999999999998</v>
      </c>
      <c r="AD20" s="5">
        <v>24.4</v>
      </c>
    </row>
    <row r="21" spans="1:30" x14ac:dyDescent="0.25">
      <c r="A21" s="7">
        <v>190</v>
      </c>
      <c r="B21" s="7" t="s">
        <v>64</v>
      </c>
      <c r="C21" s="7">
        <v>28</v>
      </c>
      <c r="D21" s="7" t="s">
        <v>41</v>
      </c>
      <c r="E21" s="7" t="s">
        <v>65</v>
      </c>
      <c r="F21" s="7">
        <v>28</v>
      </c>
      <c r="G21" s="7">
        <v>28</v>
      </c>
      <c r="H21" s="7">
        <v>35.4</v>
      </c>
      <c r="I21" s="7">
        <v>9</v>
      </c>
      <c r="J21" s="7">
        <v>19.399999999999999</v>
      </c>
      <c r="K21" s="6">
        <f>IFERROR(database_24_25!$I21/database_24_25!$J21,0)</f>
        <v>0.46391752577319589</v>
      </c>
      <c r="L21" s="7">
        <v>2.2999999999999998</v>
      </c>
      <c r="M21" s="7">
        <v>7</v>
      </c>
      <c r="N21" s="6">
        <f>IFERROR(database_24_25!$L21/database_24_25!$M21,0)</f>
        <v>0.32857142857142857</v>
      </c>
      <c r="O21" s="7">
        <v>6.6</v>
      </c>
      <c r="P21" s="5">
        <f>database_24_25!$Q21/10</f>
        <v>12.4</v>
      </c>
      <c r="Q21" s="7">
        <v>124</v>
      </c>
      <c r="R21" s="6">
        <f>IFERROR(database_24_25!$O21/database_24_25!$P21,0)</f>
        <v>0.532258064516129</v>
      </c>
      <c r="S21" s="7">
        <v>4.0999999999999996</v>
      </c>
      <c r="T21" s="7">
        <v>5.6</v>
      </c>
      <c r="U21" s="6">
        <f>IFERROR(database_24_25!$S21/database_24_25!$T21,0)</f>
        <v>0.7321428571428571</v>
      </c>
      <c r="V21" s="7">
        <v>1.5</v>
      </c>
      <c r="W21" s="7">
        <v>4.5</v>
      </c>
      <c r="X21" s="7">
        <v>6</v>
      </c>
      <c r="Y21" s="7">
        <v>4.5999999999999996</v>
      </c>
      <c r="Z21" s="7">
        <v>1.4</v>
      </c>
      <c r="AA21" s="7">
        <v>0.3</v>
      </c>
      <c r="AB21" s="7">
        <v>2.8</v>
      </c>
      <c r="AC21" s="7">
        <v>2.4</v>
      </c>
      <c r="AD21" s="7">
        <v>24.4</v>
      </c>
    </row>
    <row r="22" spans="1:30" x14ac:dyDescent="0.25">
      <c r="A22" s="5">
        <v>210</v>
      </c>
      <c r="B22" s="5" t="s">
        <v>67</v>
      </c>
      <c r="C22" s="5">
        <v>32</v>
      </c>
      <c r="D22" s="5" t="s">
        <v>43</v>
      </c>
      <c r="E22" s="5" t="s">
        <v>58</v>
      </c>
      <c r="F22" s="5">
        <v>30</v>
      </c>
      <c r="G22" s="5">
        <v>30</v>
      </c>
      <c r="H22" s="5">
        <v>35.6</v>
      </c>
      <c r="I22" s="5">
        <v>9</v>
      </c>
      <c r="J22" s="5">
        <v>18.3</v>
      </c>
      <c r="K22" s="6">
        <f>IFERROR(database_24_25!$I22/database_24_25!$J22,0)</f>
        <v>0.49180327868852458</v>
      </c>
      <c r="L22" s="5">
        <v>3.1</v>
      </c>
      <c r="M22" s="5">
        <v>7</v>
      </c>
      <c r="N22" s="6">
        <f>IFERROR(database_24_25!$L22/database_24_25!$M22,0)</f>
        <v>0.44285714285714289</v>
      </c>
      <c r="O22" s="5">
        <v>5.9</v>
      </c>
      <c r="P22" s="5">
        <f>database_24_25!$Q22/10</f>
        <v>11.3</v>
      </c>
      <c r="Q22" s="5">
        <v>113</v>
      </c>
      <c r="R22" s="6">
        <f>IFERROR(database_24_25!$O22/database_24_25!$P22,0)</f>
        <v>0.52212389380530977</v>
      </c>
      <c r="S22" s="5">
        <v>3.3</v>
      </c>
      <c r="T22" s="5">
        <v>3.6</v>
      </c>
      <c r="U22" s="6">
        <f>IFERROR(database_24_25!$S22/database_24_25!$T22,0)</f>
        <v>0.91666666666666663</v>
      </c>
      <c r="V22" s="5">
        <v>1</v>
      </c>
      <c r="W22" s="5">
        <v>3.5</v>
      </c>
      <c r="X22" s="5">
        <v>4.5999999999999996</v>
      </c>
      <c r="Y22" s="5">
        <v>4.9000000000000004</v>
      </c>
      <c r="Z22" s="5">
        <v>1.2</v>
      </c>
      <c r="AA22" s="5">
        <v>0.4</v>
      </c>
      <c r="AB22" s="5">
        <v>2.2999999999999998</v>
      </c>
      <c r="AC22" s="5">
        <v>2.2000000000000002</v>
      </c>
      <c r="AD22" s="5">
        <v>24.3</v>
      </c>
    </row>
    <row r="23" spans="1:30" x14ac:dyDescent="0.25">
      <c r="A23" s="7">
        <v>220</v>
      </c>
      <c r="B23" s="7" t="s">
        <v>68</v>
      </c>
      <c r="C23" s="7">
        <v>30</v>
      </c>
      <c r="D23" s="7" t="s">
        <v>53</v>
      </c>
      <c r="E23" s="7" t="s">
        <v>35</v>
      </c>
      <c r="F23" s="7">
        <v>12</v>
      </c>
      <c r="G23" s="7">
        <v>12</v>
      </c>
      <c r="H23" s="7">
        <v>29.5</v>
      </c>
      <c r="I23" s="7">
        <v>7.6</v>
      </c>
      <c r="J23" s="7">
        <v>16.899999999999999</v>
      </c>
      <c r="K23" s="6">
        <f>IFERROR(database_24_25!$I23/database_24_25!$J23,0)</f>
        <v>0.44970414201183434</v>
      </c>
      <c r="L23" s="7">
        <v>1.2</v>
      </c>
      <c r="M23" s="7">
        <v>3.8</v>
      </c>
      <c r="N23" s="6">
        <f>IFERROR(database_24_25!$L23/database_24_25!$M23,0)</f>
        <v>0.31578947368421051</v>
      </c>
      <c r="O23" s="7">
        <v>6.4</v>
      </c>
      <c r="P23" s="5">
        <f>database_24_25!$Q23/10</f>
        <v>13.1</v>
      </c>
      <c r="Q23" s="7">
        <v>131</v>
      </c>
      <c r="R23" s="6">
        <f>IFERROR(database_24_25!$O23/database_24_25!$P23,0)</f>
        <v>0.48854961832061072</v>
      </c>
      <c r="S23" s="7">
        <v>7.8</v>
      </c>
      <c r="T23" s="7">
        <v>8.5</v>
      </c>
      <c r="U23" s="6">
        <f>IFERROR(database_24_25!$S23/database_24_25!$T23,0)</f>
        <v>0.91764705882352937</v>
      </c>
      <c r="V23" s="7">
        <v>1.8</v>
      </c>
      <c r="W23" s="7">
        <v>5.8</v>
      </c>
      <c r="X23" s="7">
        <v>7.6</v>
      </c>
      <c r="Y23" s="7">
        <v>3.7</v>
      </c>
      <c r="Z23" s="7">
        <v>0.9</v>
      </c>
      <c r="AA23" s="7">
        <v>1.1000000000000001</v>
      </c>
      <c r="AB23" s="7">
        <v>3.2</v>
      </c>
      <c r="AC23" s="7">
        <v>2.2999999999999998</v>
      </c>
      <c r="AD23" s="7">
        <v>24.1</v>
      </c>
    </row>
    <row r="24" spans="1:30" x14ac:dyDescent="0.25">
      <c r="A24" s="7">
        <v>230</v>
      </c>
      <c r="B24" s="7" t="s">
        <v>69</v>
      </c>
      <c r="C24" s="7">
        <v>25</v>
      </c>
      <c r="D24" s="7" t="s">
        <v>70</v>
      </c>
      <c r="E24" s="7" t="s">
        <v>58</v>
      </c>
      <c r="F24" s="7">
        <v>32</v>
      </c>
      <c r="G24" s="7">
        <v>32</v>
      </c>
      <c r="H24" s="7">
        <v>35.299999999999997</v>
      </c>
      <c r="I24" s="7">
        <v>8.3000000000000007</v>
      </c>
      <c r="J24" s="7">
        <v>17.5</v>
      </c>
      <c r="K24" s="6">
        <f>IFERROR(database_24_25!$I24/database_24_25!$J24,0)</f>
        <v>0.47428571428571431</v>
      </c>
      <c r="L24" s="7">
        <v>3.9</v>
      </c>
      <c r="M24" s="7">
        <v>9.6</v>
      </c>
      <c r="N24" s="6">
        <f>IFERROR(database_24_25!$L24/database_24_25!$M24,0)</f>
        <v>0.40625</v>
      </c>
      <c r="O24" s="7">
        <v>4.4000000000000004</v>
      </c>
      <c r="P24" s="5">
        <f>database_24_25!$Q24/10</f>
        <v>7.9</v>
      </c>
      <c r="Q24" s="7">
        <v>79</v>
      </c>
      <c r="R24" s="6">
        <f>IFERROR(database_24_25!$O24/database_24_25!$P24,0)</f>
        <v>0.55696202531645567</v>
      </c>
      <c r="S24" s="7">
        <v>3.4</v>
      </c>
      <c r="T24" s="7">
        <v>4</v>
      </c>
      <c r="U24" s="6">
        <f>IFERROR(database_24_25!$S24/database_24_25!$T24,0)</f>
        <v>0.85</v>
      </c>
      <c r="V24" s="7">
        <v>0.3</v>
      </c>
      <c r="W24" s="7">
        <v>5.2</v>
      </c>
      <c r="X24" s="7">
        <v>5.5</v>
      </c>
      <c r="Y24" s="7">
        <v>5.0999999999999996</v>
      </c>
      <c r="Z24" s="7">
        <v>0.7</v>
      </c>
      <c r="AA24" s="7">
        <v>0.1</v>
      </c>
      <c r="AB24" s="7">
        <v>2.5</v>
      </c>
      <c r="AC24" s="7">
        <v>1.6</v>
      </c>
      <c r="AD24" s="7">
        <v>24.1</v>
      </c>
    </row>
    <row r="25" spans="1:30" x14ac:dyDescent="0.25">
      <c r="A25" s="5">
        <v>240</v>
      </c>
      <c r="B25" s="5" t="s">
        <v>71</v>
      </c>
      <c r="C25" s="5">
        <v>40</v>
      </c>
      <c r="D25" s="5" t="s">
        <v>51</v>
      </c>
      <c r="E25" s="5" t="s">
        <v>65</v>
      </c>
      <c r="F25" s="5">
        <v>31</v>
      </c>
      <c r="G25" s="5">
        <v>31</v>
      </c>
      <c r="H25" s="5">
        <v>34.9</v>
      </c>
      <c r="I25" s="5">
        <v>9.3000000000000007</v>
      </c>
      <c r="J25" s="5">
        <v>18.3</v>
      </c>
      <c r="K25" s="6">
        <f>IFERROR(database_24_25!$I25/database_24_25!$J25,0)</f>
        <v>0.50819672131147542</v>
      </c>
      <c r="L25" s="5">
        <v>2.2000000000000002</v>
      </c>
      <c r="M25" s="5">
        <v>5.7</v>
      </c>
      <c r="N25" s="6">
        <f>IFERROR(database_24_25!$L25/database_24_25!$M25,0)</f>
        <v>0.38596491228070179</v>
      </c>
      <c r="O25" s="5">
        <v>7.1</v>
      </c>
      <c r="P25" s="5">
        <f>database_24_25!$Q25/10</f>
        <v>12.6</v>
      </c>
      <c r="Q25" s="5">
        <v>126</v>
      </c>
      <c r="R25" s="6">
        <f>IFERROR(database_24_25!$O25/database_24_25!$P25,0)</f>
        <v>0.56349206349206349</v>
      </c>
      <c r="S25" s="5">
        <v>3.4</v>
      </c>
      <c r="T25" s="5">
        <v>4.4000000000000004</v>
      </c>
      <c r="U25" s="6">
        <f>IFERROR(database_24_25!$S25/database_24_25!$T25,0)</f>
        <v>0.7727272727272726</v>
      </c>
      <c r="V25" s="5">
        <v>0.9</v>
      </c>
      <c r="W25" s="5">
        <v>6.5</v>
      </c>
      <c r="X25" s="5">
        <v>7.4</v>
      </c>
      <c r="Y25" s="5">
        <v>8.9</v>
      </c>
      <c r="Z25" s="5">
        <v>0.7</v>
      </c>
      <c r="AA25" s="5">
        <v>0.6</v>
      </c>
      <c r="AB25" s="5">
        <v>3.8</v>
      </c>
      <c r="AC25" s="5">
        <v>1.4</v>
      </c>
      <c r="AD25" s="5">
        <v>24.1</v>
      </c>
    </row>
    <row r="26" spans="1:30" x14ac:dyDescent="0.25">
      <c r="A26" s="7">
        <v>260</v>
      </c>
      <c r="B26" s="7" t="s">
        <v>74</v>
      </c>
      <c r="C26" s="7">
        <v>31</v>
      </c>
      <c r="D26" s="7" t="s">
        <v>75</v>
      </c>
      <c r="E26" s="7" t="s">
        <v>58</v>
      </c>
      <c r="F26" s="7">
        <v>27</v>
      </c>
      <c r="G26" s="7">
        <v>27</v>
      </c>
      <c r="H26" s="7">
        <v>33.1</v>
      </c>
      <c r="I26" s="7">
        <v>8.1</v>
      </c>
      <c r="J26" s="7">
        <v>17</v>
      </c>
      <c r="K26" s="6">
        <f>IFERROR(database_24_25!$I26/database_24_25!$J26,0)</f>
        <v>0.47647058823529409</v>
      </c>
      <c r="L26" s="7">
        <v>3.6</v>
      </c>
      <c r="M26" s="7">
        <v>8.1</v>
      </c>
      <c r="N26" s="6">
        <f>IFERROR(database_24_25!$L26/database_24_25!$M26,0)</f>
        <v>0.44444444444444448</v>
      </c>
      <c r="O26" s="7">
        <v>4.5999999999999996</v>
      </c>
      <c r="P26" s="5">
        <f>database_24_25!$Q26/10</f>
        <v>8.8000000000000007</v>
      </c>
      <c r="Q26" s="7">
        <v>88</v>
      </c>
      <c r="R26" s="6">
        <f>IFERROR(database_24_25!$O26/database_24_25!$P26,0)</f>
        <v>0.5227272727272726</v>
      </c>
      <c r="S26" s="7">
        <v>3.7</v>
      </c>
      <c r="T26" s="7">
        <v>4.4000000000000004</v>
      </c>
      <c r="U26" s="6">
        <f>IFERROR(database_24_25!$S26/database_24_25!$T26,0)</f>
        <v>0.84090909090909083</v>
      </c>
      <c r="V26" s="7">
        <v>0.3</v>
      </c>
      <c r="W26" s="7">
        <v>3</v>
      </c>
      <c r="X26" s="7">
        <v>3.3</v>
      </c>
      <c r="Y26" s="7">
        <v>2.4</v>
      </c>
      <c r="Z26" s="7">
        <v>1.2</v>
      </c>
      <c r="AA26" s="7">
        <v>0.2</v>
      </c>
      <c r="AB26" s="7">
        <v>2.2000000000000002</v>
      </c>
      <c r="AC26" s="7">
        <v>2.1</v>
      </c>
      <c r="AD26" s="7">
        <v>23.6</v>
      </c>
    </row>
    <row r="27" spans="1:30" x14ac:dyDescent="0.25">
      <c r="A27" s="5">
        <v>250</v>
      </c>
      <c r="B27" s="5" t="s">
        <v>72</v>
      </c>
      <c r="C27" s="5">
        <v>23</v>
      </c>
      <c r="D27" s="5" t="s">
        <v>73</v>
      </c>
      <c r="E27" s="5" t="s">
        <v>32</v>
      </c>
      <c r="F27" s="5">
        <v>30</v>
      </c>
      <c r="G27" s="5">
        <v>30</v>
      </c>
      <c r="H27" s="5">
        <v>35.6</v>
      </c>
      <c r="I27" s="5">
        <v>8.9</v>
      </c>
      <c r="J27" s="5">
        <v>19.8</v>
      </c>
      <c r="K27" s="6">
        <f>IFERROR(database_24_25!$I27/database_24_25!$J27,0)</f>
        <v>0.4494949494949495</v>
      </c>
      <c r="L27" s="5">
        <v>2.4</v>
      </c>
      <c r="M27" s="5">
        <v>6.5</v>
      </c>
      <c r="N27" s="6">
        <f>IFERROR(database_24_25!$L27/database_24_25!$M27,0)</f>
        <v>0.3692307692307692</v>
      </c>
      <c r="O27" s="5">
        <v>6.5</v>
      </c>
      <c r="P27" s="5">
        <f>database_24_25!$Q27/10</f>
        <v>13.4</v>
      </c>
      <c r="Q27" s="5">
        <v>134</v>
      </c>
      <c r="R27" s="6">
        <f>IFERROR(database_24_25!$O27/database_24_25!$P27,0)</f>
        <v>0.48507462686567165</v>
      </c>
      <c r="S27" s="5">
        <v>3.5</v>
      </c>
      <c r="T27" s="5">
        <v>4.4000000000000004</v>
      </c>
      <c r="U27" s="6">
        <f>IFERROR(database_24_25!$S27/database_24_25!$T27,0)</f>
        <v>0.79545454545454541</v>
      </c>
      <c r="V27" s="5">
        <v>1</v>
      </c>
      <c r="W27" s="5">
        <v>5.7</v>
      </c>
      <c r="X27" s="5">
        <v>6.7</v>
      </c>
      <c r="Y27" s="5">
        <v>9.5</v>
      </c>
      <c r="Z27" s="5">
        <v>0.8</v>
      </c>
      <c r="AA27" s="5">
        <v>0.9</v>
      </c>
      <c r="AB27" s="5">
        <v>4.4000000000000004</v>
      </c>
      <c r="AC27" s="5">
        <v>2.9</v>
      </c>
      <c r="AD27" s="5">
        <v>23.6</v>
      </c>
    </row>
    <row r="28" spans="1:30" x14ac:dyDescent="0.25">
      <c r="A28" s="7">
        <v>270</v>
      </c>
      <c r="B28" s="7" t="s">
        <v>76</v>
      </c>
      <c r="C28" s="7">
        <v>24</v>
      </c>
      <c r="D28" s="7" t="s">
        <v>77</v>
      </c>
      <c r="E28" s="7" t="s">
        <v>58</v>
      </c>
      <c r="F28" s="7">
        <v>27</v>
      </c>
      <c r="G28" s="7">
        <v>27</v>
      </c>
      <c r="H28" s="7">
        <v>34.1</v>
      </c>
      <c r="I28" s="7">
        <v>8.5</v>
      </c>
      <c r="J28" s="7">
        <v>18.5</v>
      </c>
      <c r="K28" s="6">
        <f>IFERROR(database_24_25!$I28/database_24_25!$J28,0)</f>
        <v>0.45945945945945948</v>
      </c>
      <c r="L28" s="7">
        <v>1.9</v>
      </c>
      <c r="M28" s="7">
        <v>5.6</v>
      </c>
      <c r="N28" s="6">
        <f>IFERROR(database_24_25!$L28/database_24_25!$M28,0)</f>
        <v>0.3392857142857143</v>
      </c>
      <c r="O28" s="7">
        <v>6.6</v>
      </c>
      <c r="P28" s="5">
        <f>database_24_25!$Q28/10</f>
        <v>12.9</v>
      </c>
      <c r="Q28" s="7">
        <v>129</v>
      </c>
      <c r="R28" s="6">
        <f>IFERROR(database_24_25!$O28/database_24_25!$P28,0)</f>
        <v>0.5116279069767441</v>
      </c>
      <c r="S28" s="7">
        <v>4.5</v>
      </c>
      <c r="T28" s="7">
        <v>6.2</v>
      </c>
      <c r="U28" s="6">
        <f>IFERROR(database_24_25!$S28/database_24_25!$T28,0)</f>
        <v>0.72580645161290325</v>
      </c>
      <c r="V28" s="7">
        <v>0.9</v>
      </c>
      <c r="W28" s="7">
        <v>5.9</v>
      </c>
      <c r="X28" s="7">
        <v>6.8</v>
      </c>
      <c r="Y28" s="7">
        <v>6.2</v>
      </c>
      <c r="Z28" s="7">
        <v>0.7</v>
      </c>
      <c r="AA28" s="7">
        <v>0.4</v>
      </c>
      <c r="AB28" s="7">
        <v>3.4</v>
      </c>
      <c r="AC28" s="7">
        <v>2.5</v>
      </c>
      <c r="AD28" s="7">
        <v>23.4</v>
      </c>
    </row>
    <row r="29" spans="1:30" x14ac:dyDescent="0.25">
      <c r="A29" s="5">
        <v>280</v>
      </c>
      <c r="B29" s="5" t="s">
        <v>78</v>
      </c>
      <c r="C29" s="5">
        <v>28</v>
      </c>
      <c r="D29" s="5" t="s">
        <v>79</v>
      </c>
      <c r="E29" s="5" t="s">
        <v>58</v>
      </c>
      <c r="F29" s="5">
        <v>33</v>
      </c>
      <c r="G29" s="5">
        <v>33</v>
      </c>
      <c r="H29" s="5">
        <v>31.4</v>
      </c>
      <c r="I29" s="5">
        <v>8.1999999999999993</v>
      </c>
      <c r="J29" s="5">
        <v>18.100000000000001</v>
      </c>
      <c r="K29" s="6">
        <f>IFERROR(database_24_25!$I29/database_24_25!$J29,0)</f>
        <v>0.45303867403314907</v>
      </c>
      <c r="L29" s="5">
        <v>3.8</v>
      </c>
      <c r="M29" s="5">
        <v>9.3000000000000007</v>
      </c>
      <c r="N29" s="6">
        <f>IFERROR(database_24_25!$L29/database_24_25!$M29,0)</f>
        <v>0.40860215053763438</v>
      </c>
      <c r="O29" s="5">
        <v>4.4000000000000004</v>
      </c>
      <c r="P29" s="5">
        <f>database_24_25!$Q29/10</f>
        <v>8.8000000000000007</v>
      </c>
      <c r="Q29" s="5">
        <v>88</v>
      </c>
      <c r="R29" s="6">
        <f>IFERROR(database_24_25!$O29/database_24_25!$P29,0)</f>
        <v>0.5</v>
      </c>
      <c r="S29" s="5">
        <v>3.1</v>
      </c>
      <c r="T29" s="5">
        <v>3.8</v>
      </c>
      <c r="U29" s="6">
        <f>IFERROR(database_24_25!$S29/database_24_25!$T29,0)</f>
        <v>0.81578947368421062</v>
      </c>
      <c r="V29" s="5">
        <v>0.5</v>
      </c>
      <c r="W29" s="5">
        <v>3.9</v>
      </c>
      <c r="X29" s="5">
        <v>4.4000000000000004</v>
      </c>
      <c r="Y29" s="5">
        <v>4.7</v>
      </c>
      <c r="Z29" s="5">
        <v>1.5</v>
      </c>
      <c r="AA29" s="5">
        <v>0.2</v>
      </c>
      <c r="AB29" s="5">
        <v>2.1</v>
      </c>
      <c r="AC29" s="5">
        <v>1.9</v>
      </c>
      <c r="AD29" s="5">
        <v>23.4</v>
      </c>
    </row>
    <row r="30" spans="1:30" x14ac:dyDescent="0.25">
      <c r="A30" s="5">
        <v>290</v>
      </c>
      <c r="B30" s="5" t="s">
        <v>80</v>
      </c>
      <c r="C30" s="5">
        <v>33</v>
      </c>
      <c r="D30" s="5" t="s">
        <v>81</v>
      </c>
      <c r="E30" s="5" t="s">
        <v>32</v>
      </c>
      <c r="F30" s="5">
        <v>22</v>
      </c>
      <c r="G30" s="5">
        <v>22</v>
      </c>
      <c r="H30" s="5">
        <v>33.6</v>
      </c>
      <c r="I30" s="5">
        <v>8.6999999999999993</v>
      </c>
      <c r="J30" s="5">
        <v>18.899999999999999</v>
      </c>
      <c r="K30" s="6">
        <f>IFERROR(database_24_25!$I30/database_24_25!$J30,0)</f>
        <v>0.46031746031746029</v>
      </c>
      <c r="L30" s="5">
        <v>3.1</v>
      </c>
      <c r="M30" s="5">
        <v>8.4</v>
      </c>
      <c r="N30" s="6">
        <f>IFERROR(database_24_25!$L30/database_24_25!$M30,0)</f>
        <v>0.36904761904761907</v>
      </c>
      <c r="O30" s="5">
        <v>5.6</v>
      </c>
      <c r="P30" s="5">
        <f>database_24_25!$Q30/10</f>
        <v>10.5</v>
      </c>
      <c r="Q30" s="5">
        <v>105</v>
      </c>
      <c r="R30" s="6">
        <f>IFERROR(database_24_25!$O30/database_24_25!$P30,0)</f>
        <v>0.53333333333333333</v>
      </c>
      <c r="S30" s="5">
        <v>2.2999999999999998</v>
      </c>
      <c r="T30" s="5">
        <v>3.2</v>
      </c>
      <c r="U30" s="6">
        <f>IFERROR(database_24_25!$S30/database_24_25!$T30,0)</f>
        <v>0.71874999999999989</v>
      </c>
      <c r="V30" s="5">
        <v>0.8</v>
      </c>
      <c r="W30" s="5">
        <v>3</v>
      </c>
      <c r="X30" s="5">
        <v>3.8</v>
      </c>
      <c r="Y30" s="5">
        <v>4</v>
      </c>
      <c r="Z30" s="5">
        <v>1</v>
      </c>
      <c r="AA30" s="5">
        <v>0.5</v>
      </c>
      <c r="AB30" s="5">
        <v>1.7</v>
      </c>
      <c r="AC30" s="5">
        <v>2.4</v>
      </c>
      <c r="AD30" s="5">
        <v>22.7</v>
      </c>
    </row>
    <row r="31" spans="1:30" x14ac:dyDescent="0.25">
      <c r="A31" s="7">
        <v>300</v>
      </c>
      <c r="B31" s="7" t="s">
        <v>82</v>
      </c>
      <c r="C31" s="7">
        <v>24</v>
      </c>
      <c r="D31" s="7" t="s">
        <v>81</v>
      </c>
      <c r="E31" s="7" t="s">
        <v>27</v>
      </c>
      <c r="F31" s="7">
        <v>6</v>
      </c>
      <c r="G31" s="7">
        <v>6</v>
      </c>
      <c r="H31" s="7">
        <v>31</v>
      </c>
      <c r="I31" s="7">
        <v>7.8</v>
      </c>
      <c r="J31" s="7">
        <v>17.3</v>
      </c>
      <c r="K31" s="6">
        <f>IFERROR(database_24_25!$I31/database_24_25!$J31,0)</f>
        <v>0.45086705202312138</v>
      </c>
      <c r="L31" s="7">
        <v>0.3</v>
      </c>
      <c r="M31" s="7">
        <v>1</v>
      </c>
      <c r="N31" s="6">
        <f>IFERROR(database_24_25!$L31/database_24_25!$M31,0)</f>
        <v>0.3</v>
      </c>
      <c r="O31" s="7">
        <v>7.5</v>
      </c>
      <c r="P31" s="5">
        <f>database_24_25!$Q31/10</f>
        <v>16.3</v>
      </c>
      <c r="Q31" s="7">
        <v>163</v>
      </c>
      <c r="R31" s="6">
        <f>IFERROR(database_24_25!$O31/database_24_25!$P31,0)</f>
        <v>0.46012269938650302</v>
      </c>
      <c r="S31" s="7">
        <v>6.7</v>
      </c>
      <c r="T31" s="7">
        <v>10</v>
      </c>
      <c r="U31" s="6">
        <f>IFERROR(database_24_25!$S31/database_24_25!$T31,0)</f>
        <v>0.67</v>
      </c>
      <c r="V31" s="7">
        <v>2.7</v>
      </c>
      <c r="W31" s="7">
        <v>5.3</v>
      </c>
      <c r="X31" s="7">
        <v>8</v>
      </c>
      <c r="Y31" s="7">
        <v>5.3</v>
      </c>
      <c r="Z31" s="7">
        <v>0.7</v>
      </c>
      <c r="AA31" s="7">
        <v>1.2</v>
      </c>
      <c r="AB31" s="7">
        <v>3.7</v>
      </c>
      <c r="AC31" s="7">
        <v>3</v>
      </c>
      <c r="AD31" s="7">
        <v>22.7</v>
      </c>
    </row>
    <row r="32" spans="1:30" x14ac:dyDescent="0.25">
      <c r="A32" s="5">
        <v>310</v>
      </c>
      <c r="B32" s="5" t="s">
        <v>83</v>
      </c>
      <c r="C32" s="5">
        <v>26</v>
      </c>
      <c r="D32" s="5" t="s">
        <v>84</v>
      </c>
      <c r="E32" s="5" t="s">
        <v>32</v>
      </c>
      <c r="F32" s="5">
        <v>33</v>
      </c>
      <c r="G32" s="5">
        <v>33</v>
      </c>
      <c r="H32" s="5">
        <v>35.799999999999997</v>
      </c>
      <c r="I32" s="5">
        <v>6.8</v>
      </c>
      <c r="J32" s="5">
        <v>17</v>
      </c>
      <c r="K32" s="6">
        <f>IFERROR(database_24_25!$I32/database_24_25!$J32,0)</f>
        <v>0.39999999999999997</v>
      </c>
      <c r="L32" s="5">
        <v>2.9</v>
      </c>
      <c r="M32" s="5">
        <v>8.5</v>
      </c>
      <c r="N32" s="6">
        <f>IFERROR(database_24_25!$L32/database_24_25!$M32,0)</f>
        <v>0.3411764705882353</v>
      </c>
      <c r="O32" s="5">
        <v>3.9</v>
      </c>
      <c r="P32" s="5">
        <f>database_24_25!$Q32/10</f>
        <v>8.5</v>
      </c>
      <c r="Q32" s="5">
        <v>85</v>
      </c>
      <c r="R32" s="6">
        <f>IFERROR(database_24_25!$O32/database_24_25!$P32,0)</f>
        <v>0.45882352941176469</v>
      </c>
      <c r="S32" s="5">
        <v>6.1</v>
      </c>
      <c r="T32" s="5">
        <v>7</v>
      </c>
      <c r="U32" s="6">
        <f>IFERROR(database_24_25!$S32/database_24_25!$T32,0)</f>
        <v>0.87142857142857133</v>
      </c>
      <c r="V32" s="5">
        <v>0.5</v>
      </c>
      <c r="W32" s="5">
        <v>3</v>
      </c>
      <c r="X32" s="5">
        <v>3.5</v>
      </c>
      <c r="Y32" s="5">
        <v>11.9</v>
      </c>
      <c r="Z32" s="5">
        <v>1.3</v>
      </c>
      <c r="AA32" s="5">
        <v>0.2</v>
      </c>
      <c r="AB32" s="5">
        <v>4.4000000000000004</v>
      </c>
      <c r="AC32" s="5">
        <v>2</v>
      </c>
      <c r="AD32" s="5">
        <v>22.6</v>
      </c>
    </row>
    <row r="33" spans="1:30" x14ac:dyDescent="0.25">
      <c r="A33" s="7">
        <v>330</v>
      </c>
      <c r="B33" s="7" t="s">
        <v>87</v>
      </c>
      <c r="C33" s="7">
        <v>25</v>
      </c>
      <c r="D33" s="7" t="s">
        <v>88</v>
      </c>
      <c r="E33" s="7" t="s">
        <v>35</v>
      </c>
      <c r="F33" s="7">
        <v>33</v>
      </c>
      <c r="G33" s="7">
        <v>33</v>
      </c>
      <c r="H33" s="7">
        <v>28.7</v>
      </c>
      <c r="I33" s="7">
        <v>7.9</v>
      </c>
      <c r="J33" s="7">
        <v>16.2</v>
      </c>
      <c r="K33" s="6">
        <f>IFERROR(database_24_25!$I33/database_24_25!$J33,0)</f>
        <v>0.48765432098765438</v>
      </c>
      <c r="L33" s="7">
        <v>1.9</v>
      </c>
      <c r="M33" s="7">
        <v>5.3</v>
      </c>
      <c r="N33" s="6">
        <f>IFERROR(database_24_25!$L33/database_24_25!$M33,0)</f>
        <v>0.35849056603773582</v>
      </c>
      <c r="O33" s="7">
        <v>6</v>
      </c>
      <c r="P33" s="5">
        <f>database_24_25!$Q33/10</f>
        <v>10.8</v>
      </c>
      <c r="Q33" s="7">
        <v>108</v>
      </c>
      <c r="R33" s="6">
        <f>IFERROR(database_24_25!$O33/database_24_25!$P33,0)</f>
        <v>0.55555555555555547</v>
      </c>
      <c r="S33" s="7">
        <v>4.5999999999999996</v>
      </c>
      <c r="T33" s="7">
        <v>5.8</v>
      </c>
      <c r="U33" s="6">
        <f>IFERROR(database_24_25!$S33/database_24_25!$T33,0)</f>
        <v>0.79310344827586199</v>
      </c>
      <c r="V33" s="7">
        <v>1.4</v>
      </c>
      <c r="W33" s="7">
        <v>4.8</v>
      </c>
      <c r="X33" s="7">
        <v>6.1</v>
      </c>
      <c r="Y33" s="7">
        <v>1.9</v>
      </c>
      <c r="Z33" s="7">
        <v>1.4</v>
      </c>
      <c r="AA33" s="7">
        <v>1.7</v>
      </c>
      <c r="AB33" s="7">
        <v>2.2000000000000002</v>
      </c>
      <c r="AC33" s="7">
        <v>3.3</v>
      </c>
      <c r="AD33" s="7">
        <v>22.3</v>
      </c>
    </row>
    <row r="34" spans="1:30" x14ac:dyDescent="0.25">
      <c r="A34" s="5">
        <v>320</v>
      </c>
      <c r="B34" s="5" t="s">
        <v>85</v>
      </c>
      <c r="C34" s="5">
        <v>36</v>
      </c>
      <c r="D34" s="5" t="s">
        <v>86</v>
      </c>
      <c r="E34" s="5" t="s">
        <v>32</v>
      </c>
      <c r="F34" s="5">
        <v>27</v>
      </c>
      <c r="G34" s="5">
        <v>27</v>
      </c>
      <c r="H34" s="5">
        <v>31.2</v>
      </c>
      <c r="I34" s="5">
        <v>7.4</v>
      </c>
      <c r="J34" s="5">
        <v>16.7</v>
      </c>
      <c r="K34" s="6">
        <f>IFERROR(database_24_25!$I34/database_24_25!$J34,0)</f>
        <v>0.44311377245508987</v>
      </c>
      <c r="L34" s="5">
        <v>4.3</v>
      </c>
      <c r="M34" s="5">
        <v>10.4</v>
      </c>
      <c r="N34" s="6">
        <f>IFERROR(database_24_25!$L34/database_24_25!$M34,0)</f>
        <v>0.41346153846153844</v>
      </c>
      <c r="O34" s="5">
        <v>3.1</v>
      </c>
      <c r="P34" s="5">
        <f>database_24_25!$Q34/10</f>
        <v>6.3</v>
      </c>
      <c r="Q34" s="5">
        <v>63</v>
      </c>
      <c r="R34" s="6">
        <f>IFERROR(database_24_25!$O34/database_24_25!$P34,0)</f>
        <v>0.49206349206349209</v>
      </c>
      <c r="S34" s="5">
        <v>3.1</v>
      </c>
      <c r="T34" s="5">
        <v>3.4</v>
      </c>
      <c r="U34" s="6">
        <f>IFERROR(database_24_25!$S34/database_24_25!$T34,0)</f>
        <v>0.91176470588235303</v>
      </c>
      <c r="V34" s="5">
        <v>0.5</v>
      </c>
      <c r="W34" s="5">
        <v>4.3</v>
      </c>
      <c r="X34" s="5">
        <v>4.8</v>
      </c>
      <c r="Y34" s="5">
        <v>6.5</v>
      </c>
      <c r="Z34" s="5">
        <v>1.1000000000000001</v>
      </c>
      <c r="AA34" s="5">
        <v>0.5</v>
      </c>
      <c r="AB34" s="5">
        <v>3</v>
      </c>
      <c r="AC34" s="5">
        <v>1.1000000000000001</v>
      </c>
      <c r="AD34" s="5">
        <v>22.3</v>
      </c>
    </row>
    <row r="35" spans="1:30" x14ac:dyDescent="0.25">
      <c r="A35" s="7">
        <v>340</v>
      </c>
      <c r="B35" s="7" t="s">
        <v>89</v>
      </c>
      <c r="C35" s="7">
        <v>29</v>
      </c>
      <c r="D35" s="7" t="s">
        <v>90</v>
      </c>
      <c r="E35" s="7" t="s">
        <v>65</v>
      </c>
      <c r="F35" s="7">
        <v>29</v>
      </c>
      <c r="G35" s="7">
        <v>29</v>
      </c>
      <c r="H35" s="7">
        <v>33.299999999999997</v>
      </c>
      <c r="I35" s="7">
        <v>8</v>
      </c>
      <c r="J35" s="7">
        <v>15.9</v>
      </c>
      <c r="K35" s="6">
        <f>IFERROR(database_24_25!$I35/database_24_25!$J35,0)</f>
        <v>0.50314465408805031</v>
      </c>
      <c r="L35" s="7">
        <v>3.3</v>
      </c>
      <c r="M35" s="7">
        <v>7.4</v>
      </c>
      <c r="N35" s="6">
        <f>IFERROR(database_24_25!$L35/database_24_25!$M35,0)</f>
        <v>0.44594594594594589</v>
      </c>
      <c r="O35" s="7">
        <v>4.7</v>
      </c>
      <c r="P35" s="5">
        <f>database_24_25!$Q35/10</f>
        <v>8.4</v>
      </c>
      <c r="Q35" s="7">
        <v>84</v>
      </c>
      <c r="R35" s="6">
        <f>IFERROR(database_24_25!$O35/database_24_25!$P35,0)</f>
        <v>0.55952380952380953</v>
      </c>
      <c r="S35" s="7">
        <v>3</v>
      </c>
      <c r="T35" s="7">
        <v>3.8</v>
      </c>
      <c r="U35" s="6">
        <f>IFERROR(database_24_25!$S35/database_24_25!$T35,0)</f>
        <v>0.78947368421052633</v>
      </c>
      <c r="V35" s="7">
        <v>0.2</v>
      </c>
      <c r="W35" s="7">
        <v>4.2</v>
      </c>
      <c r="X35" s="7">
        <v>4.4000000000000004</v>
      </c>
      <c r="Y35" s="7">
        <v>4.3</v>
      </c>
      <c r="Z35" s="7">
        <v>0.9</v>
      </c>
      <c r="AA35" s="7">
        <v>0.3</v>
      </c>
      <c r="AB35" s="7">
        <v>3</v>
      </c>
      <c r="AC35" s="7">
        <v>1.7</v>
      </c>
      <c r="AD35" s="7">
        <v>22.3</v>
      </c>
    </row>
    <row r="36" spans="1:30" x14ac:dyDescent="0.25">
      <c r="A36" s="5">
        <v>350</v>
      </c>
      <c r="B36" s="5" t="s">
        <v>91</v>
      </c>
      <c r="C36" s="5">
        <v>27</v>
      </c>
      <c r="D36" s="5" t="s">
        <v>81</v>
      </c>
      <c r="E36" s="5" t="s">
        <v>65</v>
      </c>
      <c r="F36" s="5">
        <v>18</v>
      </c>
      <c r="G36" s="5">
        <v>18</v>
      </c>
      <c r="H36" s="5">
        <v>33.1</v>
      </c>
      <c r="I36" s="5">
        <v>8.6</v>
      </c>
      <c r="J36" s="5">
        <v>18.5</v>
      </c>
      <c r="K36" s="6">
        <f>IFERROR(database_24_25!$I36/database_24_25!$J36,0)</f>
        <v>0.46486486486486484</v>
      </c>
      <c r="L36" s="5">
        <v>2.4</v>
      </c>
      <c r="M36" s="5">
        <v>6.4</v>
      </c>
      <c r="N36" s="6">
        <f>IFERROR(database_24_25!$L36/database_24_25!$M36,0)</f>
        <v>0.37499999999999994</v>
      </c>
      <c r="O36" s="5">
        <v>6.2</v>
      </c>
      <c r="P36" s="5">
        <f>database_24_25!$Q36/10</f>
        <v>12.1</v>
      </c>
      <c r="Q36" s="5">
        <v>121</v>
      </c>
      <c r="R36" s="6">
        <f>IFERROR(database_24_25!$O36/database_24_25!$P36,0)</f>
        <v>0.5123966942148761</v>
      </c>
      <c r="S36" s="5">
        <v>2.6</v>
      </c>
      <c r="T36" s="5">
        <v>3.1</v>
      </c>
      <c r="U36" s="6">
        <f>IFERROR(database_24_25!$S36/database_24_25!$T36,0)</f>
        <v>0.83870967741935487</v>
      </c>
      <c r="V36" s="5">
        <v>0.9</v>
      </c>
      <c r="W36" s="5">
        <v>4.5999999999999996</v>
      </c>
      <c r="X36" s="5">
        <v>5.6</v>
      </c>
      <c r="Y36" s="5">
        <v>5.2</v>
      </c>
      <c r="Z36" s="5">
        <v>0.9</v>
      </c>
      <c r="AA36" s="5">
        <v>0.6</v>
      </c>
      <c r="AB36" s="5">
        <v>3.8</v>
      </c>
      <c r="AC36" s="5">
        <v>2.5</v>
      </c>
      <c r="AD36" s="5">
        <v>22.2</v>
      </c>
    </row>
    <row r="37" spans="1:30" x14ac:dyDescent="0.25">
      <c r="A37" s="7">
        <v>360</v>
      </c>
      <c r="B37" s="7" t="s">
        <v>92</v>
      </c>
      <c r="C37" s="7">
        <v>35</v>
      </c>
      <c r="D37" s="7" t="s">
        <v>75</v>
      </c>
      <c r="E37" s="7" t="s">
        <v>32</v>
      </c>
      <c r="F37" s="7">
        <v>32</v>
      </c>
      <c r="G37" s="7">
        <v>32</v>
      </c>
      <c r="H37" s="7">
        <v>33.9</v>
      </c>
      <c r="I37" s="7">
        <v>6.3</v>
      </c>
      <c r="J37" s="7">
        <v>15.9</v>
      </c>
      <c r="K37" s="6">
        <f>IFERROR(database_24_25!$I37/database_24_25!$J37,0)</f>
        <v>0.39622641509433959</v>
      </c>
      <c r="L37" s="7">
        <v>2.8</v>
      </c>
      <c r="M37" s="7">
        <v>8.1999999999999993</v>
      </c>
      <c r="N37" s="6">
        <f>IFERROR(database_24_25!$L37/database_24_25!$M37,0)</f>
        <v>0.34146341463414637</v>
      </c>
      <c r="O37" s="7">
        <v>3.4</v>
      </c>
      <c r="P37" s="5">
        <f>database_24_25!$Q37/10</f>
        <v>7.7</v>
      </c>
      <c r="Q37" s="7">
        <v>77</v>
      </c>
      <c r="R37" s="6">
        <f>IFERROR(database_24_25!$O37/database_24_25!$P37,0)</f>
        <v>0.44155844155844154</v>
      </c>
      <c r="S37" s="7">
        <v>6.6</v>
      </c>
      <c r="T37" s="7">
        <v>7.4</v>
      </c>
      <c r="U37" s="6">
        <f>IFERROR(database_24_25!$S37/database_24_25!$T37,0)</f>
        <v>0.89189189189189177</v>
      </c>
      <c r="V37" s="7">
        <v>0.6</v>
      </c>
      <c r="W37" s="7">
        <v>5.5</v>
      </c>
      <c r="X37" s="7">
        <v>6.1</v>
      </c>
      <c r="Y37" s="7">
        <v>7.8</v>
      </c>
      <c r="Z37" s="7">
        <v>1.5</v>
      </c>
      <c r="AA37" s="7">
        <v>0.6</v>
      </c>
      <c r="AB37" s="7">
        <v>4.8</v>
      </c>
      <c r="AC37" s="7">
        <v>2</v>
      </c>
      <c r="AD37" s="7">
        <v>21.9</v>
      </c>
    </row>
    <row r="38" spans="1:30" x14ac:dyDescent="0.25">
      <c r="A38" s="5">
        <v>370</v>
      </c>
      <c r="B38" s="5" t="s">
        <v>93</v>
      </c>
      <c r="C38" s="5">
        <v>25</v>
      </c>
      <c r="D38" s="5" t="s">
        <v>94</v>
      </c>
      <c r="E38" s="5" t="s">
        <v>58</v>
      </c>
      <c r="F38" s="5">
        <v>28</v>
      </c>
      <c r="G38" s="5">
        <v>28</v>
      </c>
      <c r="H38" s="5">
        <v>31.4</v>
      </c>
      <c r="I38" s="5">
        <v>7</v>
      </c>
      <c r="J38" s="5">
        <v>16.2</v>
      </c>
      <c r="K38" s="6">
        <f>IFERROR(database_24_25!$I38/database_24_25!$J38,0)</f>
        <v>0.4320987654320988</v>
      </c>
      <c r="L38" s="5">
        <v>3.6</v>
      </c>
      <c r="M38" s="5">
        <v>8.9</v>
      </c>
      <c r="N38" s="6">
        <f>IFERROR(database_24_25!$L38/database_24_25!$M38,0)</f>
        <v>0.4044943820224719</v>
      </c>
      <c r="O38" s="5">
        <v>3.4</v>
      </c>
      <c r="P38" s="5">
        <f>database_24_25!$Q38/10</f>
        <v>7.3</v>
      </c>
      <c r="Q38" s="5">
        <v>73</v>
      </c>
      <c r="R38" s="6">
        <f>IFERROR(database_24_25!$O38/database_24_25!$P38,0)</f>
        <v>0.46575342465753422</v>
      </c>
      <c r="S38" s="5">
        <v>4.0999999999999996</v>
      </c>
      <c r="T38" s="5">
        <v>4.9000000000000004</v>
      </c>
      <c r="U38" s="6">
        <f>IFERROR(database_24_25!$S38/database_24_25!$T38,0)</f>
        <v>0.83673469387755084</v>
      </c>
      <c r="V38" s="5">
        <v>0.4</v>
      </c>
      <c r="W38" s="5">
        <v>2.2999999999999998</v>
      </c>
      <c r="X38" s="5">
        <v>2.7</v>
      </c>
      <c r="Y38" s="5">
        <v>5</v>
      </c>
      <c r="Z38" s="5">
        <v>1.6</v>
      </c>
      <c r="AA38" s="5">
        <v>0.5</v>
      </c>
      <c r="AB38" s="5">
        <v>3.6</v>
      </c>
      <c r="AC38" s="5">
        <v>3.4</v>
      </c>
      <c r="AD38" s="5">
        <v>21.8</v>
      </c>
    </row>
    <row r="39" spans="1:30" x14ac:dyDescent="0.25">
      <c r="A39" s="7">
        <v>380</v>
      </c>
      <c r="B39" s="7" t="s">
        <v>95</v>
      </c>
      <c r="C39" s="7">
        <v>22</v>
      </c>
      <c r="D39" s="7" t="s">
        <v>37</v>
      </c>
      <c r="E39" s="7" t="s">
        <v>65</v>
      </c>
      <c r="F39" s="7">
        <v>23</v>
      </c>
      <c r="G39" s="7">
        <v>23</v>
      </c>
      <c r="H39" s="7">
        <v>34.5</v>
      </c>
      <c r="I39" s="7">
        <v>7.4</v>
      </c>
      <c r="J39" s="7">
        <v>18.600000000000001</v>
      </c>
      <c r="K39" s="6">
        <f>IFERROR(database_24_25!$I39/database_24_25!$J39,0)</f>
        <v>0.39784946236559138</v>
      </c>
      <c r="L39" s="7">
        <v>3.9</v>
      </c>
      <c r="M39" s="7">
        <v>11</v>
      </c>
      <c r="N39" s="6">
        <f>IFERROR(database_24_25!$L39/database_24_25!$M39,0)</f>
        <v>0.35454545454545455</v>
      </c>
      <c r="O39" s="7">
        <v>3.6</v>
      </c>
      <c r="P39" s="5">
        <f>database_24_25!$Q39/10</f>
        <v>7.6</v>
      </c>
      <c r="Q39" s="7">
        <v>76</v>
      </c>
      <c r="R39" s="6">
        <f>IFERROR(database_24_25!$O39/database_24_25!$P39,0)</f>
        <v>0.47368421052631582</v>
      </c>
      <c r="S39" s="7">
        <v>2.7</v>
      </c>
      <c r="T39" s="7">
        <v>3</v>
      </c>
      <c r="U39" s="6">
        <f>IFERROR(database_24_25!$S39/database_24_25!$T39,0)</f>
        <v>0.9</v>
      </c>
      <c r="V39" s="7">
        <v>0.9</v>
      </c>
      <c r="W39" s="7">
        <v>4.2</v>
      </c>
      <c r="X39" s="7">
        <v>5.0999999999999996</v>
      </c>
      <c r="Y39" s="7">
        <v>3.7</v>
      </c>
      <c r="Z39" s="7">
        <v>1.1000000000000001</v>
      </c>
      <c r="AA39" s="7">
        <v>0.7</v>
      </c>
      <c r="AB39" s="7">
        <v>2.8</v>
      </c>
      <c r="AC39" s="7">
        <v>2.7</v>
      </c>
      <c r="AD39" s="7">
        <v>21.4</v>
      </c>
    </row>
    <row r="40" spans="1:30" x14ac:dyDescent="0.25">
      <c r="A40" s="5">
        <v>390</v>
      </c>
      <c r="B40" s="5" t="s">
        <v>96</v>
      </c>
      <c r="C40" s="5">
        <v>25</v>
      </c>
      <c r="D40" s="5" t="s">
        <v>88</v>
      </c>
      <c r="E40" s="5" t="s">
        <v>32</v>
      </c>
      <c r="F40" s="5">
        <v>20</v>
      </c>
      <c r="G40" s="5">
        <v>20</v>
      </c>
      <c r="H40" s="5">
        <v>27.7</v>
      </c>
      <c r="I40" s="5">
        <v>7.1</v>
      </c>
      <c r="J40" s="5">
        <v>15.7</v>
      </c>
      <c r="K40" s="6">
        <f>IFERROR(database_24_25!$I40/database_24_25!$J40,0)</f>
        <v>0.45222929936305734</v>
      </c>
      <c r="L40" s="5">
        <v>1.6</v>
      </c>
      <c r="M40" s="5">
        <v>4.8</v>
      </c>
      <c r="N40" s="6">
        <f>IFERROR(database_24_25!$L40/database_24_25!$M40,0)</f>
        <v>0.33333333333333337</v>
      </c>
      <c r="O40" s="5">
        <v>5.6</v>
      </c>
      <c r="P40" s="5">
        <f>database_24_25!$Q40/10</f>
        <v>10.9</v>
      </c>
      <c r="Q40" s="5">
        <v>109</v>
      </c>
      <c r="R40" s="6">
        <f>IFERROR(database_24_25!$O40/database_24_25!$P40,0)</f>
        <v>0.51376146788990817</v>
      </c>
      <c r="S40" s="5">
        <v>5.5</v>
      </c>
      <c r="T40" s="5">
        <v>6.5</v>
      </c>
      <c r="U40" s="6">
        <f>IFERROR(database_24_25!$S40/database_24_25!$T40,0)</f>
        <v>0.84615384615384615</v>
      </c>
      <c r="V40" s="5">
        <v>0.7</v>
      </c>
      <c r="W40" s="5">
        <v>3.8</v>
      </c>
      <c r="X40" s="5">
        <v>4.4000000000000004</v>
      </c>
      <c r="Y40" s="5">
        <v>7.9</v>
      </c>
      <c r="Z40" s="5">
        <v>1.1000000000000001</v>
      </c>
      <c r="AA40" s="5">
        <v>0.4</v>
      </c>
      <c r="AB40" s="5">
        <v>3.8</v>
      </c>
      <c r="AC40" s="5">
        <v>1.6</v>
      </c>
      <c r="AD40" s="5">
        <v>21.2</v>
      </c>
    </row>
    <row r="41" spans="1:30" x14ac:dyDescent="0.25">
      <c r="A41" s="7">
        <v>400</v>
      </c>
      <c r="B41" s="7" t="s">
        <v>97</v>
      </c>
      <c r="C41" s="7">
        <v>23</v>
      </c>
      <c r="D41" s="7" t="s">
        <v>31</v>
      </c>
      <c r="E41" s="7" t="s">
        <v>58</v>
      </c>
      <c r="F41" s="7">
        <v>34</v>
      </c>
      <c r="G41" s="7">
        <v>34</v>
      </c>
      <c r="H41" s="7">
        <v>32.4</v>
      </c>
      <c r="I41" s="7">
        <v>8.3000000000000007</v>
      </c>
      <c r="J41" s="7">
        <v>17.2</v>
      </c>
      <c r="K41" s="6">
        <f>IFERROR(database_24_25!$I41/database_24_25!$J41,0)</f>
        <v>0.4825581395348838</v>
      </c>
      <c r="L41" s="7">
        <v>1.8</v>
      </c>
      <c r="M41" s="7">
        <v>5.0999999999999996</v>
      </c>
      <c r="N41" s="6">
        <f>IFERROR(database_24_25!$L41/database_24_25!$M41,0)</f>
        <v>0.35294117647058826</v>
      </c>
      <c r="O41" s="7">
        <v>6.5</v>
      </c>
      <c r="P41" s="5">
        <f>database_24_25!$Q41/10</f>
        <v>12.1</v>
      </c>
      <c r="Q41" s="7">
        <v>121</v>
      </c>
      <c r="R41" s="6">
        <f>IFERROR(database_24_25!$O41/database_24_25!$P41,0)</f>
        <v>0.53719008264462809</v>
      </c>
      <c r="S41" s="7">
        <v>2.6</v>
      </c>
      <c r="T41" s="7">
        <v>3.3</v>
      </c>
      <c r="U41" s="6">
        <f>IFERROR(database_24_25!$S41/database_24_25!$T41,0)</f>
        <v>0.78787878787878796</v>
      </c>
      <c r="V41" s="7">
        <v>0.9</v>
      </c>
      <c r="W41" s="7">
        <v>4.9000000000000004</v>
      </c>
      <c r="X41" s="7">
        <v>5.8</v>
      </c>
      <c r="Y41" s="7">
        <v>5.0999999999999996</v>
      </c>
      <c r="Z41" s="7">
        <v>1.8</v>
      </c>
      <c r="AA41" s="7">
        <v>0.7</v>
      </c>
      <c r="AB41" s="7">
        <v>2.2000000000000002</v>
      </c>
      <c r="AC41" s="7">
        <v>2.5</v>
      </c>
      <c r="AD41" s="7">
        <v>20.9</v>
      </c>
    </row>
    <row r="42" spans="1:30" x14ac:dyDescent="0.25">
      <c r="A42" s="5">
        <v>410</v>
      </c>
      <c r="B42" s="5" t="s">
        <v>98</v>
      </c>
      <c r="C42" s="5">
        <v>35</v>
      </c>
      <c r="D42" s="5" t="s">
        <v>47</v>
      </c>
      <c r="E42" s="5" t="s">
        <v>65</v>
      </c>
      <c r="F42" s="5">
        <v>30</v>
      </c>
      <c r="G42" s="5">
        <v>30</v>
      </c>
      <c r="H42" s="5">
        <v>35.1</v>
      </c>
      <c r="I42" s="5">
        <v>7.7</v>
      </c>
      <c r="J42" s="5">
        <v>15.7</v>
      </c>
      <c r="K42" s="6">
        <f>IFERROR(database_24_25!$I42/database_24_25!$J42,0)</f>
        <v>0.49044585987261152</v>
      </c>
      <c r="L42" s="5">
        <v>0.7</v>
      </c>
      <c r="M42" s="5">
        <v>2.2000000000000002</v>
      </c>
      <c r="N42" s="6">
        <f>IFERROR(database_24_25!$L42/database_24_25!$M42,0)</f>
        <v>0.31818181818181812</v>
      </c>
      <c r="O42" s="5">
        <v>7</v>
      </c>
      <c r="P42" s="5">
        <f>database_24_25!$Q42/10</f>
        <v>13.5</v>
      </c>
      <c r="Q42" s="5">
        <v>135</v>
      </c>
      <c r="R42" s="6">
        <f>IFERROR(database_24_25!$O42/database_24_25!$P42,0)</f>
        <v>0.51851851851851849</v>
      </c>
      <c r="S42" s="5">
        <v>4.5999999999999996</v>
      </c>
      <c r="T42" s="5">
        <v>5.4</v>
      </c>
      <c r="U42" s="6">
        <f>IFERROR(database_24_25!$S42/database_24_25!$T42,0)</f>
        <v>0.85185185185185175</v>
      </c>
      <c r="V42" s="5">
        <v>0.6</v>
      </c>
      <c r="W42" s="5">
        <v>3.3</v>
      </c>
      <c r="X42" s="5">
        <v>3.9</v>
      </c>
      <c r="Y42" s="5">
        <v>3.9</v>
      </c>
      <c r="Z42" s="5">
        <v>1.4</v>
      </c>
      <c r="AA42" s="5">
        <v>0.4</v>
      </c>
      <c r="AB42" s="5">
        <v>1.5</v>
      </c>
      <c r="AC42" s="5">
        <v>2.1</v>
      </c>
      <c r="AD42" s="5">
        <v>20.8</v>
      </c>
    </row>
    <row r="43" spans="1:30" x14ac:dyDescent="0.25">
      <c r="A43" s="7">
        <v>420</v>
      </c>
      <c r="B43" s="7" t="s">
        <v>99</v>
      </c>
      <c r="C43" s="7">
        <v>24</v>
      </c>
      <c r="D43" s="7" t="s">
        <v>81</v>
      </c>
      <c r="E43" s="7" t="s">
        <v>65</v>
      </c>
      <c r="F43" s="7">
        <v>22</v>
      </c>
      <c r="G43" s="7">
        <v>20</v>
      </c>
      <c r="H43" s="7">
        <v>34.4</v>
      </c>
      <c r="I43" s="7">
        <v>7</v>
      </c>
      <c r="J43" s="7">
        <v>15.7</v>
      </c>
      <c r="K43" s="6">
        <f>IFERROR(database_24_25!$I43/database_24_25!$J43,0)</f>
        <v>0.44585987261146498</v>
      </c>
      <c r="L43" s="7">
        <v>3.1</v>
      </c>
      <c r="M43" s="7">
        <v>8.5</v>
      </c>
      <c r="N43" s="6">
        <f>IFERROR(database_24_25!$L43/database_24_25!$M43,0)</f>
        <v>0.36470588235294121</v>
      </c>
      <c r="O43" s="7">
        <v>3.9</v>
      </c>
      <c r="P43" s="5">
        <f>database_24_25!$Q43/10</f>
        <v>7.1</v>
      </c>
      <c r="Q43" s="7">
        <v>71</v>
      </c>
      <c r="R43" s="6">
        <f>IFERROR(database_24_25!$O43/database_24_25!$P43,0)</f>
        <v>0.54929577464788737</v>
      </c>
      <c r="S43" s="7">
        <v>3.5</v>
      </c>
      <c r="T43" s="7">
        <v>3.9</v>
      </c>
      <c r="U43" s="6">
        <f>IFERROR(database_24_25!$S43/database_24_25!$T43,0)</f>
        <v>0.89743589743589747</v>
      </c>
      <c r="V43" s="7">
        <v>0.9</v>
      </c>
      <c r="W43" s="7">
        <v>3.6</v>
      </c>
      <c r="X43" s="7">
        <v>4.5</v>
      </c>
      <c r="Y43" s="7">
        <v>2.7</v>
      </c>
      <c r="Z43" s="7">
        <v>1.1000000000000001</v>
      </c>
      <c r="AA43" s="7">
        <v>0.7</v>
      </c>
      <c r="AB43" s="7">
        <v>1.7</v>
      </c>
      <c r="AC43" s="7">
        <v>2.2999999999999998</v>
      </c>
      <c r="AD43" s="7">
        <v>20.6</v>
      </c>
    </row>
    <row r="44" spans="1:30" x14ac:dyDescent="0.25">
      <c r="A44" s="5">
        <v>430</v>
      </c>
      <c r="B44" s="5" t="s">
        <v>100</v>
      </c>
      <c r="C44" s="5">
        <v>28</v>
      </c>
      <c r="D44" s="5" t="s">
        <v>47</v>
      </c>
      <c r="E44" s="5" t="s">
        <v>35</v>
      </c>
      <c r="F44" s="5">
        <v>32</v>
      </c>
      <c r="G44" s="5">
        <v>32</v>
      </c>
      <c r="H44" s="5">
        <v>35.700000000000003</v>
      </c>
      <c r="I44" s="5">
        <v>8.1</v>
      </c>
      <c r="J44" s="5">
        <v>13.7</v>
      </c>
      <c r="K44" s="6">
        <f>IFERROR(database_24_25!$I44/database_24_25!$J44,0)</f>
        <v>0.59124087591240881</v>
      </c>
      <c r="L44" s="5">
        <v>1</v>
      </c>
      <c r="M44" s="5">
        <v>2.4</v>
      </c>
      <c r="N44" s="6">
        <f>IFERROR(database_24_25!$L44/database_24_25!$M44,0)</f>
        <v>0.41666666666666669</v>
      </c>
      <c r="O44" s="5">
        <v>7.1</v>
      </c>
      <c r="P44" s="5">
        <f>database_24_25!$Q44/10</f>
        <v>11.3</v>
      </c>
      <c r="Q44" s="5">
        <v>113</v>
      </c>
      <c r="R44" s="6">
        <f>IFERROR(database_24_25!$O44/database_24_25!$P44,0)</f>
        <v>0.62831858407079644</v>
      </c>
      <c r="S44" s="5">
        <v>3.3</v>
      </c>
      <c r="T44" s="5">
        <v>4.2</v>
      </c>
      <c r="U44" s="6">
        <f>IFERROR(database_24_25!$S44/database_24_25!$T44,0)</f>
        <v>0.78571428571428559</v>
      </c>
      <c r="V44" s="5">
        <v>3.8</v>
      </c>
      <c r="W44" s="5">
        <v>9.9</v>
      </c>
      <c r="X44" s="5">
        <v>13.7</v>
      </c>
      <c r="Y44" s="5">
        <v>6.1</v>
      </c>
      <c r="Z44" s="5">
        <v>0.8</v>
      </c>
      <c r="AA44" s="5">
        <v>0.4</v>
      </c>
      <c r="AB44" s="5">
        <v>2.9</v>
      </c>
      <c r="AC44" s="5">
        <v>3.5</v>
      </c>
      <c r="AD44" s="5">
        <v>20.5</v>
      </c>
    </row>
    <row r="45" spans="1:30" x14ac:dyDescent="0.25">
      <c r="A45" s="5">
        <v>440</v>
      </c>
      <c r="B45" s="5" t="s">
        <v>101</v>
      </c>
      <c r="C45" s="5">
        <v>23</v>
      </c>
      <c r="D45" s="5" t="s">
        <v>77</v>
      </c>
      <c r="E45" s="5" t="s">
        <v>27</v>
      </c>
      <c r="F45" s="5">
        <v>22</v>
      </c>
      <c r="G45" s="5">
        <v>22</v>
      </c>
      <c r="H45" s="5">
        <v>34.299999999999997</v>
      </c>
      <c r="I45" s="5">
        <v>7.7</v>
      </c>
      <c r="J45" s="5">
        <v>16.5</v>
      </c>
      <c r="K45" s="6">
        <f>IFERROR(database_24_25!$I45/database_24_25!$J45,0)</f>
        <v>0.46666666666666667</v>
      </c>
      <c r="L45" s="5">
        <v>1.6</v>
      </c>
      <c r="M45" s="5">
        <v>5.6</v>
      </c>
      <c r="N45" s="6">
        <f>IFERROR(database_24_25!$L45/database_24_25!$M45,0)</f>
        <v>0.28571428571428575</v>
      </c>
      <c r="O45" s="5">
        <v>6.1</v>
      </c>
      <c r="P45" s="5">
        <f>database_24_25!$Q45/10</f>
        <v>11</v>
      </c>
      <c r="Q45" s="5">
        <v>110</v>
      </c>
      <c r="R45" s="6">
        <f>IFERROR(database_24_25!$O45/database_24_25!$P45,0)</f>
        <v>0.55454545454545456</v>
      </c>
      <c r="S45" s="5">
        <v>3.3</v>
      </c>
      <c r="T45" s="5">
        <v>4.5</v>
      </c>
      <c r="U45" s="6">
        <f>IFERROR(database_24_25!$S45/database_24_25!$T45,0)</f>
        <v>0.73333333333333328</v>
      </c>
      <c r="V45" s="5">
        <v>1.7</v>
      </c>
      <c r="W45" s="5">
        <v>6.6</v>
      </c>
      <c r="X45" s="5">
        <v>8.3000000000000007</v>
      </c>
      <c r="Y45" s="5">
        <v>6.6</v>
      </c>
      <c r="Z45" s="5">
        <v>1.4</v>
      </c>
      <c r="AA45" s="5">
        <v>0.6</v>
      </c>
      <c r="AB45" s="5">
        <v>3.7</v>
      </c>
      <c r="AC45" s="5">
        <v>2.2000000000000002</v>
      </c>
      <c r="AD45" s="5">
        <v>20.399999999999999</v>
      </c>
    </row>
    <row r="46" spans="1:30" x14ac:dyDescent="0.25">
      <c r="A46" s="7">
        <v>450</v>
      </c>
      <c r="B46" s="7" t="s">
        <v>102</v>
      </c>
      <c r="C46" s="7">
        <v>25</v>
      </c>
      <c r="D46" s="7" t="s">
        <v>79</v>
      </c>
      <c r="E46" s="7" t="s">
        <v>32</v>
      </c>
      <c r="F46" s="7">
        <v>33</v>
      </c>
      <c r="G46" s="7">
        <v>33</v>
      </c>
      <c r="H46" s="7">
        <v>30</v>
      </c>
      <c r="I46" s="7">
        <v>7.3</v>
      </c>
      <c r="J46" s="7">
        <v>14.9</v>
      </c>
      <c r="K46" s="6">
        <f>IFERROR(database_24_25!$I46/database_24_25!$J46,0)</f>
        <v>0.48993288590604023</v>
      </c>
      <c r="L46" s="7">
        <v>2.9</v>
      </c>
      <c r="M46" s="7">
        <v>6.8</v>
      </c>
      <c r="N46" s="6">
        <f>IFERROR(database_24_25!$L46/database_24_25!$M46,0)</f>
        <v>0.4264705882352941</v>
      </c>
      <c r="O46" s="7">
        <v>4.4000000000000004</v>
      </c>
      <c r="P46" s="5">
        <f>database_24_25!$Q46/10</f>
        <v>8.1</v>
      </c>
      <c r="Q46" s="7">
        <v>81</v>
      </c>
      <c r="R46" s="6">
        <f>IFERROR(database_24_25!$O46/database_24_25!$P46,0)</f>
        <v>0.54320987654320996</v>
      </c>
      <c r="S46" s="7">
        <v>2.8</v>
      </c>
      <c r="T46" s="7">
        <v>3.1</v>
      </c>
      <c r="U46" s="6">
        <f>IFERROR(database_24_25!$S46/database_24_25!$T46,0)</f>
        <v>0.90322580645161277</v>
      </c>
      <c r="V46" s="7">
        <v>0.5</v>
      </c>
      <c r="W46" s="7">
        <v>2.1</v>
      </c>
      <c r="X46" s="7">
        <v>2.6</v>
      </c>
      <c r="Y46" s="7">
        <v>6.8</v>
      </c>
      <c r="Z46" s="7">
        <v>1.2</v>
      </c>
      <c r="AA46" s="7">
        <v>0.2</v>
      </c>
      <c r="AB46" s="7">
        <v>2.2999999999999998</v>
      </c>
      <c r="AC46" s="7">
        <v>2.1</v>
      </c>
      <c r="AD46" s="7">
        <v>20.399999999999999</v>
      </c>
    </row>
    <row r="47" spans="1:30" x14ac:dyDescent="0.25">
      <c r="A47" s="7">
        <v>460</v>
      </c>
      <c r="B47" s="7" t="s">
        <v>103</v>
      </c>
      <c r="C47" s="7">
        <v>34</v>
      </c>
      <c r="D47" s="7" t="s">
        <v>90</v>
      </c>
      <c r="E47" s="7" t="s">
        <v>35</v>
      </c>
      <c r="F47" s="7">
        <v>33</v>
      </c>
      <c r="G47" s="7">
        <v>33</v>
      </c>
      <c r="H47" s="7">
        <v>32.200000000000003</v>
      </c>
      <c r="I47" s="7">
        <v>8.1999999999999993</v>
      </c>
      <c r="J47" s="7">
        <v>14.7</v>
      </c>
      <c r="K47" s="6">
        <f>IFERROR(database_24_25!$I47/database_24_25!$J47,0)</f>
        <v>0.55782312925170063</v>
      </c>
      <c r="L47" s="7">
        <v>2.1</v>
      </c>
      <c r="M47" s="7">
        <v>4.8</v>
      </c>
      <c r="N47" s="6">
        <f>IFERROR(database_24_25!$L47/database_24_25!$M47,0)</f>
        <v>0.43750000000000006</v>
      </c>
      <c r="O47" s="7">
        <v>6.1</v>
      </c>
      <c r="P47" s="5">
        <f>database_24_25!$Q47/10</f>
        <v>9.9</v>
      </c>
      <c r="Q47" s="7">
        <v>99</v>
      </c>
      <c r="R47" s="6">
        <f>IFERROR(database_24_25!$O47/database_24_25!$P47,0)</f>
        <v>0.61616161616161613</v>
      </c>
      <c r="S47" s="7">
        <v>1.8</v>
      </c>
      <c r="T47" s="7">
        <v>2.2000000000000002</v>
      </c>
      <c r="U47" s="6">
        <f>IFERROR(database_24_25!$S47/database_24_25!$T47,0)</f>
        <v>0.81818181818181812</v>
      </c>
      <c r="V47" s="7">
        <v>2.2000000000000002</v>
      </c>
      <c r="W47" s="7">
        <v>7.9</v>
      </c>
      <c r="X47" s="7">
        <v>10.1</v>
      </c>
      <c r="Y47" s="7">
        <v>3.3</v>
      </c>
      <c r="Z47" s="7">
        <v>0.8</v>
      </c>
      <c r="AA47" s="7">
        <v>0.7</v>
      </c>
      <c r="AB47" s="7">
        <v>1.6</v>
      </c>
      <c r="AC47" s="7">
        <v>2.2999999999999998</v>
      </c>
      <c r="AD47" s="7">
        <v>20.3</v>
      </c>
    </row>
    <row r="48" spans="1:30" x14ac:dyDescent="0.25">
      <c r="A48" s="5">
        <v>470</v>
      </c>
      <c r="B48" s="5" t="s">
        <v>104</v>
      </c>
      <c r="C48" s="5">
        <v>30</v>
      </c>
      <c r="D48" s="5" t="s">
        <v>63</v>
      </c>
      <c r="E48" s="5" t="s">
        <v>27</v>
      </c>
      <c r="F48" s="5">
        <v>33</v>
      </c>
      <c r="G48" s="5">
        <v>33</v>
      </c>
      <c r="H48" s="5">
        <v>33.200000000000003</v>
      </c>
      <c r="I48" s="5">
        <v>6.9</v>
      </c>
      <c r="J48" s="5">
        <v>14.4</v>
      </c>
      <c r="K48" s="6">
        <f>IFERROR(database_24_25!$I48/database_24_25!$J48,0)</f>
        <v>0.47916666666666669</v>
      </c>
      <c r="L48" s="5">
        <v>1.8</v>
      </c>
      <c r="M48" s="5">
        <v>4.9000000000000004</v>
      </c>
      <c r="N48" s="6">
        <f>IFERROR(database_24_25!$L48/database_24_25!$M48,0)</f>
        <v>0.36734693877551017</v>
      </c>
      <c r="O48" s="5">
        <v>5</v>
      </c>
      <c r="P48" s="5">
        <f>database_24_25!$Q48/10</f>
        <v>9.5</v>
      </c>
      <c r="Q48" s="5">
        <v>95</v>
      </c>
      <c r="R48" s="6">
        <f>IFERROR(database_24_25!$O48/database_24_25!$P48,0)</f>
        <v>0.52631578947368418</v>
      </c>
      <c r="S48" s="5">
        <v>4.5</v>
      </c>
      <c r="T48" s="5">
        <v>5.5</v>
      </c>
      <c r="U48" s="6">
        <f>IFERROR(database_24_25!$S48/database_24_25!$T48,0)</f>
        <v>0.81818181818181823</v>
      </c>
      <c r="V48" s="5">
        <v>1.9</v>
      </c>
      <c r="W48" s="5">
        <v>5.0999999999999996</v>
      </c>
      <c r="X48" s="5">
        <v>7</v>
      </c>
      <c r="Y48" s="5">
        <v>4.5</v>
      </c>
      <c r="Z48" s="5">
        <v>0.7</v>
      </c>
      <c r="AA48" s="5">
        <v>0.2</v>
      </c>
      <c r="AB48" s="5">
        <v>3</v>
      </c>
      <c r="AC48" s="5">
        <v>2.4</v>
      </c>
      <c r="AD48" s="5">
        <v>20.2</v>
      </c>
    </row>
    <row r="49" spans="1:30" x14ac:dyDescent="0.25">
      <c r="A49" s="7">
        <v>480</v>
      </c>
      <c r="B49" s="7" t="s">
        <v>105</v>
      </c>
      <c r="C49" s="7">
        <v>27</v>
      </c>
      <c r="D49" s="7" t="s">
        <v>84</v>
      </c>
      <c r="E49" s="7" t="s">
        <v>65</v>
      </c>
      <c r="F49" s="7">
        <v>24</v>
      </c>
      <c r="G49" s="7">
        <v>2</v>
      </c>
      <c r="H49" s="7">
        <v>27.8</v>
      </c>
      <c r="I49" s="7">
        <v>6.5</v>
      </c>
      <c r="J49" s="7">
        <v>13.3</v>
      </c>
      <c r="K49" s="6">
        <f>IFERROR(database_24_25!$I49/database_24_25!$J49,0)</f>
        <v>0.48872180451127817</v>
      </c>
      <c r="L49" s="7">
        <v>2.7</v>
      </c>
      <c r="M49" s="7">
        <v>6.1</v>
      </c>
      <c r="N49" s="6">
        <f>IFERROR(database_24_25!$L49/database_24_25!$M49,0)</f>
        <v>0.44262295081967218</v>
      </c>
      <c r="O49" s="7">
        <v>3.8</v>
      </c>
      <c r="P49" s="5">
        <f>database_24_25!$Q49/10</f>
        <v>7.3</v>
      </c>
      <c r="Q49" s="7">
        <v>73</v>
      </c>
      <c r="R49" s="6">
        <f>IFERROR(database_24_25!$O49/database_24_25!$P49,0)</f>
        <v>0.52054794520547942</v>
      </c>
      <c r="S49" s="7">
        <v>4.3</v>
      </c>
      <c r="T49" s="7">
        <v>5</v>
      </c>
      <c r="U49" s="6">
        <f>IFERROR(database_24_25!$S49/database_24_25!$T49,0)</f>
        <v>0.86</v>
      </c>
      <c r="V49" s="7">
        <v>0.7</v>
      </c>
      <c r="W49" s="7">
        <v>3.4</v>
      </c>
      <c r="X49" s="7">
        <v>4</v>
      </c>
      <c r="Y49" s="7">
        <v>1.4</v>
      </c>
      <c r="Z49" s="7">
        <v>0.9</v>
      </c>
      <c r="AA49" s="7">
        <v>0.1</v>
      </c>
      <c r="AB49" s="7">
        <v>1.3</v>
      </c>
      <c r="AC49" s="7">
        <v>2.2999999999999998</v>
      </c>
      <c r="AD49" s="7">
        <v>19.899999999999999</v>
      </c>
    </row>
    <row r="50" spans="1:30" x14ac:dyDescent="0.25">
      <c r="A50" s="7">
        <v>500</v>
      </c>
      <c r="B50" s="7" t="s">
        <v>107</v>
      </c>
      <c r="C50" s="7">
        <v>30</v>
      </c>
      <c r="D50" s="7" t="s">
        <v>108</v>
      </c>
      <c r="E50" s="7" t="s">
        <v>27</v>
      </c>
      <c r="F50" s="7">
        <v>35</v>
      </c>
      <c r="G50" s="7">
        <v>35</v>
      </c>
      <c r="H50" s="7">
        <v>33.700000000000003</v>
      </c>
      <c r="I50" s="7">
        <v>7.5</v>
      </c>
      <c r="J50" s="7">
        <v>14.4</v>
      </c>
      <c r="K50" s="6">
        <f>IFERROR(database_24_25!$I50/database_24_25!$J50,0)</f>
        <v>0.52083333333333337</v>
      </c>
      <c r="L50" s="7">
        <v>1.9</v>
      </c>
      <c r="M50" s="7">
        <v>4.4000000000000004</v>
      </c>
      <c r="N50" s="6">
        <f>IFERROR(database_24_25!$L50/database_24_25!$M50,0)</f>
        <v>0.43181818181818177</v>
      </c>
      <c r="O50" s="7">
        <v>5.6</v>
      </c>
      <c r="P50" s="5">
        <f>database_24_25!$Q50/10</f>
        <v>10</v>
      </c>
      <c r="Q50" s="7">
        <v>100</v>
      </c>
      <c r="R50" s="6">
        <f>IFERROR(database_24_25!$O50/database_24_25!$P50,0)</f>
        <v>0.55999999999999994</v>
      </c>
      <c r="S50" s="7">
        <v>2.8</v>
      </c>
      <c r="T50" s="7">
        <v>3.7</v>
      </c>
      <c r="U50" s="6">
        <f>IFERROR(database_24_25!$S50/database_24_25!$T50,0)</f>
        <v>0.75675675675675669</v>
      </c>
      <c r="V50" s="7">
        <v>1.7</v>
      </c>
      <c r="W50" s="7">
        <v>5.6</v>
      </c>
      <c r="X50" s="7">
        <v>7.3</v>
      </c>
      <c r="Y50" s="7">
        <v>3.4</v>
      </c>
      <c r="Z50" s="7">
        <v>0.9</v>
      </c>
      <c r="AA50" s="7">
        <v>0.3</v>
      </c>
      <c r="AB50" s="7">
        <v>1.3</v>
      </c>
      <c r="AC50" s="7">
        <v>2.9</v>
      </c>
      <c r="AD50" s="7">
        <v>19.8</v>
      </c>
    </row>
    <row r="51" spans="1:30" x14ac:dyDescent="0.25">
      <c r="A51" s="5">
        <v>490</v>
      </c>
      <c r="B51" s="5" t="s">
        <v>106</v>
      </c>
      <c r="C51" s="5">
        <v>23</v>
      </c>
      <c r="D51" s="5" t="s">
        <v>84</v>
      </c>
      <c r="E51" s="5" t="s">
        <v>65</v>
      </c>
      <c r="F51" s="5">
        <v>32</v>
      </c>
      <c r="G51" s="5">
        <v>32</v>
      </c>
      <c r="H51" s="5">
        <v>36.299999999999997</v>
      </c>
      <c r="I51" s="5">
        <v>7.9</v>
      </c>
      <c r="J51" s="5">
        <v>15.4</v>
      </c>
      <c r="K51" s="6">
        <f>IFERROR(database_24_25!$I51/database_24_25!$J51,0)</f>
        <v>0.51298701298701299</v>
      </c>
      <c r="L51" s="5">
        <v>1.4</v>
      </c>
      <c r="M51" s="5">
        <v>4.2</v>
      </c>
      <c r="N51" s="6">
        <f>IFERROR(database_24_25!$L51/database_24_25!$M51,0)</f>
        <v>0.33333333333333331</v>
      </c>
      <c r="O51" s="5">
        <v>6.5</v>
      </c>
      <c r="P51" s="5">
        <f>database_24_25!$Q51/10</f>
        <v>11.3</v>
      </c>
      <c r="Q51" s="5">
        <v>113</v>
      </c>
      <c r="R51" s="6">
        <f>IFERROR(database_24_25!$O51/database_24_25!$P51,0)</f>
        <v>0.5752212389380531</v>
      </c>
      <c r="S51" s="5">
        <v>2.7</v>
      </c>
      <c r="T51" s="5">
        <v>3.5</v>
      </c>
      <c r="U51" s="6">
        <f>IFERROR(database_24_25!$S51/database_24_25!$T51,0)</f>
        <v>0.77142857142857146</v>
      </c>
      <c r="V51" s="5">
        <v>1.8</v>
      </c>
      <c r="W51" s="5">
        <v>8.3000000000000007</v>
      </c>
      <c r="X51" s="5">
        <v>10.1</v>
      </c>
      <c r="Y51" s="5">
        <v>5.3</v>
      </c>
      <c r="Z51" s="5">
        <v>1.5</v>
      </c>
      <c r="AA51" s="5">
        <v>1.1000000000000001</v>
      </c>
      <c r="AB51" s="5">
        <v>3</v>
      </c>
      <c r="AC51" s="5">
        <v>2</v>
      </c>
      <c r="AD51" s="5">
        <v>19.8</v>
      </c>
    </row>
    <row r="52" spans="1:30" x14ac:dyDescent="0.25">
      <c r="A52" s="5">
        <v>510</v>
      </c>
      <c r="B52" s="5" t="s">
        <v>109</v>
      </c>
      <c r="C52" s="5">
        <v>22</v>
      </c>
      <c r="D52" s="5" t="s">
        <v>110</v>
      </c>
      <c r="E52" s="5" t="s">
        <v>58</v>
      </c>
      <c r="F52" s="5">
        <v>34</v>
      </c>
      <c r="G52" s="5">
        <v>34</v>
      </c>
      <c r="H52" s="5">
        <v>32.700000000000003</v>
      </c>
      <c r="I52" s="5">
        <v>6.9</v>
      </c>
      <c r="J52" s="5">
        <v>16.7</v>
      </c>
      <c r="K52" s="6">
        <f>IFERROR(database_24_25!$I52/database_24_25!$J52,0)</f>
        <v>0.41317365269461082</v>
      </c>
      <c r="L52" s="5">
        <v>2.5</v>
      </c>
      <c r="M52" s="5">
        <v>7.7</v>
      </c>
      <c r="N52" s="6">
        <f>IFERROR(database_24_25!$L52/database_24_25!$M52,0)</f>
        <v>0.32467532467532467</v>
      </c>
      <c r="O52" s="5">
        <v>4.4000000000000004</v>
      </c>
      <c r="P52" s="5">
        <f>database_24_25!$Q52/10</f>
        <v>9</v>
      </c>
      <c r="Q52" s="5">
        <v>90</v>
      </c>
      <c r="R52" s="6">
        <f>IFERROR(database_24_25!$O52/database_24_25!$P52,0)</f>
        <v>0.48888888888888893</v>
      </c>
      <c r="S52" s="5">
        <v>3.4</v>
      </c>
      <c r="T52" s="5">
        <v>4</v>
      </c>
      <c r="U52" s="6">
        <f>IFERROR(database_24_25!$S52/database_24_25!$T52,0)</f>
        <v>0.85</v>
      </c>
      <c r="V52" s="5">
        <v>0.5</v>
      </c>
      <c r="W52" s="5">
        <v>3.9</v>
      </c>
      <c r="X52" s="5">
        <v>4.4000000000000004</v>
      </c>
      <c r="Y52" s="5">
        <v>2.5</v>
      </c>
      <c r="Z52" s="5">
        <v>1</v>
      </c>
      <c r="AA52" s="5">
        <v>0.3</v>
      </c>
      <c r="AB52" s="5">
        <v>2.4</v>
      </c>
      <c r="AC52" s="5">
        <v>1.7</v>
      </c>
      <c r="AD52" s="5">
        <v>19.600000000000001</v>
      </c>
    </row>
    <row r="53" spans="1:30" x14ac:dyDescent="0.25">
      <c r="A53" s="7">
        <v>520</v>
      </c>
      <c r="B53" s="7" t="s">
        <v>111</v>
      </c>
      <c r="C53" s="7">
        <v>27</v>
      </c>
      <c r="D53" s="7" t="s">
        <v>34</v>
      </c>
      <c r="E53" s="7" t="s">
        <v>32</v>
      </c>
      <c r="F53" s="7">
        <v>27</v>
      </c>
      <c r="G53" s="7">
        <v>27</v>
      </c>
      <c r="H53" s="7">
        <v>36.700000000000003</v>
      </c>
      <c r="I53" s="7">
        <v>7</v>
      </c>
      <c r="J53" s="7">
        <v>16.100000000000001</v>
      </c>
      <c r="K53" s="6">
        <f>IFERROR(database_24_25!$I53/database_24_25!$J53,0)</f>
        <v>0.43478260869565216</v>
      </c>
      <c r="L53" s="7">
        <v>2.1</v>
      </c>
      <c r="M53" s="7">
        <v>5.9</v>
      </c>
      <c r="N53" s="6">
        <f>IFERROR(database_24_25!$L53/database_24_25!$M53,0)</f>
        <v>0.3559322033898305</v>
      </c>
      <c r="O53" s="7">
        <v>4.9000000000000004</v>
      </c>
      <c r="P53" s="5">
        <f>database_24_25!$Q53/10</f>
        <v>10.3</v>
      </c>
      <c r="Q53" s="7">
        <v>103</v>
      </c>
      <c r="R53" s="6">
        <f>IFERROR(database_24_25!$O53/database_24_25!$P53,0)</f>
        <v>0.47572815533980584</v>
      </c>
      <c r="S53" s="7">
        <v>3.4</v>
      </c>
      <c r="T53" s="7">
        <v>4</v>
      </c>
      <c r="U53" s="6">
        <f>IFERROR(database_24_25!$S53/database_24_25!$T53,0)</f>
        <v>0.85</v>
      </c>
      <c r="V53" s="7">
        <v>0.5</v>
      </c>
      <c r="W53" s="7">
        <v>3.6</v>
      </c>
      <c r="X53" s="7">
        <v>4.0999999999999996</v>
      </c>
      <c r="Y53" s="7">
        <v>6.3</v>
      </c>
      <c r="Z53" s="7">
        <v>1.5</v>
      </c>
      <c r="AA53" s="7">
        <v>0.7</v>
      </c>
      <c r="AB53" s="7">
        <v>2.2999999999999998</v>
      </c>
      <c r="AC53" s="7">
        <v>1.7</v>
      </c>
      <c r="AD53" s="7">
        <v>19.600000000000001</v>
      </c>
    </row>
    <row r="54" spans="1:30" x14ac:dyDescent="0.25">
      <c r="A54" s="7">
        <v>540</v>
      </c>
      <c r="B54" s="7" t="s">
        <v>113</v>
      </c>
      <c r="C54" s="7">
        <v>27</v>
      </c>
      <c r="D54" s="7" t="s">
        <v>114</v>
      </c>
      <c r="E54" s="7" t="s">
        <v>27</v>
      </c>
      <c r="F54" s="7">
        <v>27</v>
      </c>
      <c r="G54" s="7">
        <v>27</v>
      </c>
      <c r="H54" s="7">
        <v>32</v>
      </c>
      <c r="I54" s="7">
        <v>6.1</v>
      </c>
      <c r="J54" s="7">
        <v>14.1</v>
      </c>
      <c r="K54" s="6">
        <f>IFERROR(database_24_25!$I54/database_24_25!$J54,0)</f>
        <v>0.43262411347517726</v>
      </c>
      <c r="L54" s="7">
        <v>2.8</v>
      </c>
      <c r="M54" s="7">
        <v>7.9</v>
      </c>
      <c r="N54" s="6">
        <f>IFERROR(database_24_25!$L54/database_24_25!$M54,0)</f>
        <v>0.35443037974683539</v>
      </c>
      <c r="O54" s="7">
        <v>3.3</v>
      </c>
      <c r="P54" s="5">
        <f>database_24_25!$Q54/10</f>
        <v>6.3</v>
      </c>
      <c r="Q54" s="7">
        <v>63</v>
      </c>
      <c r="R54" s="6">
        <f>IFERROR(database_24_25!$O54/database_24_25!$P54,0)</f>
        <v>0.52380952380952384</v>
      </c>
      <c r="S54" s="7">
        <v>4.5</v>
      </c>
      <c r="T54" s="7">
        <v>5.0999999999999996</v>
      </c>
      <c r="U54" s="6">
        <f>IFERROR(database_24_25!$S54/database_24_25!$T54,0)</f>
        <v>0.88235294117647067</v>
      </c>
      <c r="V54" s="7">
        <v>1.8</v>
      </c>
      <c r="W54" s="7">
        <v>4.5999999999999996</v>
      </c>
      <c r="X54" s="7">
        <v>6.4</v>
      </c>
      <c r="Y54" s="7">
        <v>1.9</v>
      </c>
      <c r="Z54" s="7">
        <v>0.8</v>
      </c>
      <c r="AA54" s="7">
        <v>0.3</v>
      </c>
      <c r="AB54" s="7">
        <v>1.5</v>
      </c>
      <c r="AC54" s="7">
        <v>1.6</v>
      </c>
      <c r="AD54" s="7">
        <v>19.5</v>
      </c>
    </row>
    <row r="55" spans="1:30" x14ac:dyDescent="0.25">
      <c r="A55" s="5">
        <v>530</v>
      </c>
      <c r="B55" s="5" t="s">
        <v>112</v>
      </c>
      <c r="C55" s="5">
        <v>28</v>
      </c>
      <c r="D55" s="5" t="s">
        <v>60</v>
      </c>
      <c r="E55" s="5" t="s">
        <v>27</v>
      </c>
      <c r="F55" s="5">
        <v>32</v>
      </c>
      <c r="G55" s="5">
        <v>32</v>
      </c>
      <c r="H55" s="5">
        <v>32.6</v>
      </c>
      <c r="I55" s="5">
        <v>6.4</v>
      </c>
      <c r="J55" s="5">
        <v>12.8</v>
      </c>
      <c r="K55" s="6">
        <f>IFERROR(database_24_25!$I55/database_24_25!$J55,0)</f>
        <v>0.5</v>
      </c>
      <c r="L55" s="5">
        <v>3.3</v>
      </c>
      <c r="M55" s="5">
        <v>7.5</v>
      </c>
      <c r="N55" s="6">
        <f>IFERROR(database_24_25!$L55/database_24_25!$M55,0)</f>
        <v>0.44</v>
      </c>
      <c r="O55" s="5">
        <v>3.1</v>
      </c>
      <c r="P55" s="5">
        <f>database_24_25!$Q55/10</f>
        <v>5.3</v>
      </c>
      <c r="Q55" s="5">
        <v>53</v>
      </c>
      <c r="R55" s="6">
        <f>IFERROR(database_24_25!$O55/database_24_25!$P55,0)</f>
        <v>0.58490566037735847</v>
      </c>
      <c r="S55" s="5">
        <v>3.5</v>
      </c>
      <c r="T55" s="5">
        <v>3.9</v>
      </c>
      <c r="U55" s="6">
        <f>IFERROR(database_24_25!$S55/database_24_25!$T55,0)</f>
        <v>0.89743589743589747</v>
      </c>
      <c r="V55" s="5">
        <v>0.8</v>
      </c>
      <c r="W55" s="5">
        <v>3.5</v>
      </c>
      <c r="X55" s="5">
        <v>4.3</v>
      </c>
      <c r="Y55" s="5">
        <v>3</v>
      </c>
      <c r="Z55" s="5">
        <v>0.9</v>
      </c>
      <c r="AA55" s="5">
        <v>0.4</v>
      </c>
      <c r="AB55" s="5">
        <v>1.7</v>
      </c>
      <c r="AC55" s="5">
        <v>1.8</v>
      </c>
      <c r="AD55" s="5">
        <v>19.5</v>
      </c>
    </row>
    <row r="56" spans="1:30" x14ac:dyDescent="0.25">
      <c r="A56" s="5">
        <v>570</v>
      </c>
      <c r="B56" s="5" t="s">
        <v>117</v>
      </c>
      <c r="C56" s="5">
        <v>22</v>
      </c>
      <c r="D56" s="5" t="s">
        <v>110</v>
      </c>
      <c r="E56" s="5" t="s">
        <v>35</v>
      </c>
      <c r="F56" s="5">
        <v>34</v>
      </c>
      <c r="G56" s="5">
        <v>34</v>
      </c>
      <c r="H56" s="5">
        <v>31.4</v>
      </c>
      <c r="I56" s="5">
        <v>7.5</v>
      </c>
      <c r="J56" s="5">
        <v>15.2</v>
      </c>
      <c r="K56" s="6">
        <f>IFERROR(database_24_25!$I56/database_24_25!$J56,0)</f>
        <v>0.49342105263157898</v>
      </c>
      <c r="L56" s="5">
        <v>0.3</v>
      </c>
      <c r="M56" s="5">
        <v>1.5</v>
      </c>
      <c r="N56" s="6">
        <f>IFERROR(database_24_25!$L56/database_24_25!$M56,0)</f>
        <v>0.19999999999999998</v>
      </c>
      <c r="O56" s="5">
        <v>7.1</v>
      </c>
      <c r="P56" s="5">
        <f>database_24_25!$Q56/10</f>
        <v>13.8</v>
      </c>
      <c r="Q56" s="5">
        <v>138</v>
      </c>
      <c r="R56" s="6">
        <f>IFERROR(database_24_25!$O56/database_24_25!$P56,0)</f>
        <v>0.51449275362318836</v>
      </c>
      <c r="S56" s="5">
        <v>3.6</v>
      </c>
      <c r="T56" s="5">
        <v>4.8</v>
      </c>
      <c r="U56" s="6">
        <f>IFERROR(database_24_25!$S56/database_24_25!$T56,0)</f>
        <v>0.75</v>
      </c>
      <c r="V56" s="5">
        <v>3.4</v>
      </c>
      <c r="W56" s="5">
        <v>7.2</v>
      </c>
      <c r="X56" s="5">
        <v>10.6</v>
      </c>
      <c r="Y56" s="5">
        <v>5</v>
      </c>
      <c r="Z56" s="5">
        <v>1.3</v>
      </c>
      <c r="AA56" s="5">
        <v>0.9</v>
      </c>
      <c r="AB56" s="5">
        <v>2.5</v>
      </c>
      <c r="AC56" s="5">
        <v>2.8</v>
      </c>
      <c r="AD56" s="5">
        <v>18.899999999999999</v>
      </c>
    </row>
    <row r="57" spans="1:30" x14ac:dyDescent="0.25">
      <c r="A57" s="5">
        <v>560</v>
      </c>
      <c r="B57" s="5" t="s">
        <v>116</v>
      </c>
      <c r="C57" s="5">
        <v>26</v>
      </c>
      <c r="D57" s="5" t="s">
        <v>34</v>
      </c>
      <c r="E57" s="5" t="s">
        <v>65</v>
      </c>
      <c r="F57" s="5">
        <v>33</v>
      </c>
      <c r="G57" s="5">
        <v>33</v>
      </c>
      <c r="H57" s="5">
        <v>34.299999999999997</v>
      </c>
      <c r="I57" s="5">
        <v>7.2</v>
      </c>
      <c r="J57" s="5">
        <v>13.8</v>
      </c>
      <c r="K57" s="6">
        <f>IFERROR(database_24_25!$I57/database_24_25!$J57,0)</f>
        <v>0.52173913043478259</v>
      </c>
      <c r="L57" s="5">
        <v>2.6</v>
      </c>
      <c r="M57" s="5">
        <v>6.2</v>
      </c>
      <c r="N57" s="6">
        <f>IFERROR(database_24_25!$L57/database_24_25!$M57,0)</f>
        <v>0.41935483870967744</v>
      </c>
      <c r="O57" s="5">
        <v>4.5999999999999996</v>
      </c>
      <c r="P57" s="5">
        <f>database_24_25!$Q57/10</f>
        <v>7.6</v>
      </c>
      <c r="Q57" s="5">
        <v>76</v>
      </c>
      <c r="R57" s="6">
        <f>IFERROR(database_24_25!$O57/database_24_25!$P57,0)</f>
        <v>0.60526315789473684</v>
      </c>
      <c r="S57" s="5">
        <v>1.8</v>
      </c>
      <c r="T57" s="5">
        <v>2.5</v>
      </c>
      <c r="U57" s="6">
        <f>IFERROR(database_24_25!$S57/database_24_25!$T57,0)</f>
        <v>0.72</v>
      </c>
      <c r="V57" s="5">
        <v>1.5</v>
      </c>
      <c r="W57" s="5">
        <v>4.9000000000000004</v>
      </c>
      <c r="X57" s="5">
        <v>6.4</v>
      </c>
      <c r="Y57" s="5">
        <v>2.6</v>
      </c>
      <c r="Z57" s="5">
        <v>0.7</v>
      </c>
      <c r="AA57" s="5">
        <v>0.4</v>
      </c>
      <c r="AB57" s="5">
        <v>1.4</v>
      </c>
      <c r="AC57" s="5">
        <v>2.1</v>
      </c>
      <c r="AD57" s="5">
        <v>18.899999999999999</v>
      </c>
    </row>
    <row r="58" spans="1:30" x14ac:dyDescent="0.25">
      <c r="A58" s="7">
        <v>550</v>
      </c>
      <c r="B58" s="7" t="s">
        <v>115</v>
      </c>
      <c r="C58" s="7">
        <v>23</v>
      </c>
      <c r="D58" s="7" t="s">
        <v>79</v>
      </c>
      <c r="E58" s="7" t="s">
        <v>27</v>
      </c>
      <c r="F58" s="7">
        <v>32</v>
      </c>
      <c r="G58" s="7">
        <v>32</v>
      </c>
      <c r="H58" s="7">
        <v>30.2</v>
      </c>
      <c r="I58" s="7">
        <v>7.3</v>
      </c>
      <c r="J58" s="7">
        <v>12.7</v>
      </c>
      <c r="K58" s="6">
        <f>IFERROR(database_24_25!$I58/database_24_25!$J58,0)</f>
        <v>0.57480314960629919</v>
      </c>
      <c r="L58" s="7">
        <v>1.2</v>
      </c>
      <c r="M58" s="7">
        <v>2.7</v>
      </c>
      <c r="N58" s="6">
        <f>IFERROR(database_24_25!$L58/database_24_25!$M58,0)</f>
        <v>0.44444444444444442</v>
      </c>
      <c r="O58" s="7">
        <v>6.2</v>
      </c>
      <c r="P58" s="5">
        <f>database_24_25!$Q58/10</f>
        <v>10.1</v>
      </c>
      <c r="Q58" s="7">
        <v>101</v>
      </c>
      <c r="R58" s="6">
        <f>IFERROR(database_24_25!$O58/database_24_25!$P58,0)</f>
        <v>0.61386138613861385</v>
      </c>
      <c r="S58" s="7">
        <v>3.1</v>
      </c>
      <c r="T58" s="7">
        <v>4</v>
      </c>
      <c r="U58" s="6">
        <f>IFERROR(database_24_25!$S58/database_24_25!$T58,0)</f>
        <v>0.77500000000000002</v>
      </c>
      <c r="V58" s="7">
        <v>2.1</v>
      </c>
      <c r="W58" s="7">
        <v>6.7</v>
      </c>
      <c r="X58" s="7">
        <v>8.8000000000000007</v>
      </c>
      <c r="Y58" s="7">
        <v>2.9</v>
      </c>
      <c r="Z58" s="7">
        <v>1</v>
      </c>
      <c r="AA58" s="7">
        <v>1.5</v>
      </c>
      <c r="AB58" s="7">
        <v>2.1</v>
      </c>
      <c r="AC58" s="7">
        <v>2.2000000000000002</v>
      </c>
      <c r="AD58" s="7">
        <v>18.899999999999999</v>
      </c>
    </row>
    <row r="59" spans="1:30" x14ac:dyDescent="0.25">
      <c r="A59" s="7">
        <v>580</v>
      </c>
      <c r="B59" s="7" t="s">
        <v>118</v>
      </c>
      <c r="C59" s="7">
        <v>28</v>
      </c>
      <c r="D59" s="7" t="s">
        <v>55</v>
      </c>
      <c r="E59" s="7" t="s">
        <v>65</v>
      </c>
      <c r="F59" s="7">
        <v>35</v>
      </c>
      <c r="G59" s="7">
        <v>35</v>
      </c>
      <c r="H59" s="7">
        <v>39.299999999999997</v>
      </c>
      <c r="I59" s="7">
        <v>7.6</v>
      </c>
      <c r="J59" s="7">
        <v>15</v>
      </c>
      <c r="K59" s="6">
        <f>IFERROR(database_24_25!$I59/database_24_25!$J59,0)</f>
        <v>0.5066666666666666</v>
      </c>
      <c r="L59" s="7">
        <v>2.5</v>
      </c>
      <c r="M59" s="7">
        <v>6.8</v>
      </c>
      <c r="N59" s="6">
        <f>IFERROR(database_24_25!$L59/database_24_25!$M59,0)</f>
        <v>0.36764705882352944</v>
      </c>
      <c r="O59" s="7">
        <v>5.2</v>
      </c>
      <c r="P59" s="5">
        <f>database_24_25!$Q59/10</f>
        <v>8.1999999999999993</v>
      </c>
      <c r="Q59" s="7">
        <v>82</v>
      </c>
      <c r="R59" s="6">
        <f>IFERROR(database_24_25!$O59/database_24_25!$P59,0)</f>
        <v>0.63414634146341475</v>
      </c>
      <c r="S59" s="7">
        <v>0.7</v>
      </c>
      <c r="T59" s="7">
        <v>1.1000000000000001</v>
      </c>
      <c r="U59" s="6">
        <f>IFERROR(database_24_25!$S59/database_24_25!$T59,0)</f>
        <v>0.63636363636363624</v>
      </c>
      <c r="V59" s="7">
        <v>0.9</v>
      </c>
      <c r="W59" s="7">
        <v>2.4</v>
      </c>
      <c r="X59" s="7">
        <v>3.3</v>
      </c>
      <c r="Y59" s="7">
        <v>3.3</v>
      </c>
      <c r="Z59" s="7">
        <v>1.2</v>
      </c>
      <c r="AA59" s="7">
        <v>0.5</v>
      </c>
      <c r="AB59" s="7">
        <v>1.6</v>
      </c>
      <c r="AC59" s="7">
        <v>1.4</v>
      </c>
      <c r="AD59" s="7">
        <v>18.5</v>
      </c>
    </row>
    <row r="60" spans="1:30" x14ac:dyDescent="0.25">
      <c r="A60" s="7">
        <v>590</v>
      </c>
      <c r="B60" s="7" t="s">
        <v>119</v>
      </c>
      <c r="C60" s="7">
        <v>26</v>
      </c>
      <c r="D60" s="7" t="s">
        <v>51</v>
      </c>
      <c r="E60" s="7" t="s">
        <v>58</v>
      </c>
      <c r="F60" s="7">
        <v>29</v>
      </c>
      <c r="G60" s="7">
        <v>29</v>
      </c>
      <c r="H60" s="7">
        <v>34.700000000000003</v>
      </c>
      <c r="I60" s="7">
        <v>6.2</v>
      </c>
      <c r="J60" s="7">
        <v>14</v>
      </c>
      <c r="K60" s="6">
        <f>IFERROR(database_24_25!$I60/database_24_25!$J60,0)</f>
        <v>0.44285714285714289</v>
      </c>
      <c r="L60" s="7">
        <v>2.6</v>
      </c>
      <c r="M60" s="7">
        <v>7.2</v>
      </c>
      <c r="N60" s="6">
        <f>IFERROR(database_24_25!$L60/database_24_25!$M60,0)</f>
        <v>0.3611111111111111</v>
      </c>
      <c r="O60" s="7">
        <v>3.6</v>
      </c>
      <c r="P60" s="5">
        <f>database_24_25!$Q60/10</f>
        <v>6.8</v>
      </c>
      <c r="Q60" s="7">
        <v>68</v>
      </c>
      <c r="R60" s="6">
        <f>IFERROR(database_24_25!$O60/database_24_25!$P60,0)</f>
        <v>0.52941176470588236</v>
      </c>
      <c r="S60" s="7">
        <v>3.3</v>
      </c>
      <c r="T60" s="7">
        <v>4.0999999999999996</v>
      </c>
      <c r="U60" s="6">
        <f>IFERROR(database_24_25!$S60/database_24_25!$T60,0)</f>
        <v>0.80487804878048785</v>
      </c>
      <c r="V60" s="7">
        <v>1</v>
      </c>
      <c r="W60" s="7">
        <v>3.6</v>
      </c>
      <c r="X60" s="7">
        <v>4.5999999999999996</v>
      </c>
      <c r="Y60" s="7">
        <v>5.9</v>
      </c>
      <c r="Z60" s="7">
        <v>1</v>
      </c>
      <c r="AA60" s="7">
        <v>0.1</v>
      </c>
      <c r="AB60" s="7">
        <v>2.6</v>
      </c>
      <c r="AC60" s="7">
        <v>2.1</v>
      </c>
      <c r="AD60" s="7">
        <v>18.3</v>
      </c>
    </row>
    <row r="61" spans="1:30" x14ac:dyDescent="0.25">
      <c r="A61" s="5">
        <v>600</v>
      </c>
      <c r="B61" s="5" t="s">
        <v>120</v>
      </c>
      <c r="C61" s="5">
        <v>31</v>
      </c>
      <c r="D61" s="5" t="s">
        <v>45</v>
      </c>
      <c r="E61" s="5" t="s">
        <v>58</v>
      </c>
      <c r="F61" s="5">
        <v>22</v>
      </c>
      <c r="G61" s="5">
        <v>22</v>
      </c>
      <c r="H61" s="5">
        <v>33.4</v>
      </c>
      <c r="I61" s="5">
        <v>7.1</v>
      </c>
      <c r="J61" s="5">
        <v>14.6</v>
      </c>
      <c r="K61" s="6">
        <f>IFERROR(database_24_25!$I61/database_24_25!$J61,0)</f>
        <v>0.4863013698630137</v>
      </c>
      <c r="L61" s="5">
        <v>2.2000000000000002</v>
      </c>
      <c r="M61" s="5">
        <v>5.8</v>
      </c>
      <c r="N61" s="6">
        <f>IFERROR(database_24_25!$L61/database_24_25!$M61,0)</f>
        <v>0.37931034482758624</v>
      </c>
      <c r="O61" s="5">
        <v>4.9000000000000004</v>
      </c>
      <c r="P61" s="5">
        <f>database_24_25!$Q61/10</f>
        <v>8.8000000000000007</v>
      </c>
      <c r="Q61" s="5">
        <v>88</v>
      </c>
      <c r="R61" s="6">
        <f>IFERROR(database_24_25!$O61/database_24_25!$P61,0)</f>
        <v>0.55681818181818177</v>
      </c>
      <c r="S61" s="5">
        <v>1.7</v>
      </c>
      <c r="T61" s="5">
        <v>2.2999999999999998</v>
      </c>
      <c r="U61" s="6">
        <f>IFERROR(database_24_25!$S61/database_24_25!$T61,0)</f>
        <v>0.73913043478260876</v>
      </c>
      <c r="V61" s="5">
        <v>0.7</v>
      </c>
      <c r="W61" s="5">
        <v>3</v>
      </c>
      <c r="X61" s="5">
        <v>3.7</v>
      </c>
      <c r="Y61" s="5">
        <v>3.1</v>
      </c>
      <c r="Z61" s="5">
        <v>1.2</v>
      </c>
      <c r="AA61" s="5">
        <v>0.7</v>
      </c>
      <c r="AB61" s="5">
        <v>2.2000000000000002</v>
      </c>
      <c r="AC61" s="5">
        <v>2.7</v>
      </c>
      <c r="AD61" s="5">
        <v>18.2</v>
      </c>
    </row>
    <row r="62" spans="1:30" x14ac:dyDescent="0.25">
      <c r="A62" s="5">
        <v>620</v>
      </c>
      <c r="B62" s="5" t="s">
        <v>122</v>
      </c>
      <c r="C62" s="5">
        <v>24</v>
      </c>
      <c r="D62" s="5" t="s">
        <v>108</v>
      </c>
      <c r="E62" s="5" t="s">
        <v>32</v>
      </c>
      <c r="F62" s="5">
        <v>35</v>
      </c>
      <c r="G62" s="5">
        <v>35</v>
      </c>
      <c r="H62" s="5">
        <v>35.299999999999997</v>
      </c>
      <c r="I62" s="5">
        <v>6.2</v>
      </c>
      <c r="J62" s="5">
        <v>14.2</v>
      </c>
      <c r="K62" s="6">
        <f>IFERROR(database_24_25!$I62/database_24_25!$J62,0)</f>
        <v>0.43661971830985918</v>
      </c>
      <c r="L62" s="5">
        <v>2.9</v>
      </c>
      <c r="M62" s="5">
        <v>8.4</v>
      </c>
      <c r="N62" s="6">
        <f>IFERROR(database_24_25!$L62/database_24_25!$M62,0)</f>
        <v>0.34523809523809523</v>
      </c>
      <c r="O62" s="5">
        <v>3.3</v>
      </c>
      <c r="P62" s="5">
        <f>database_24_25!$Q62/10</f>
        <v>5.8</v>
      </c>
      <c r="Q62" s="5">
        <v>58</v>
      </c>
      <c r="R62" s="6">
        <f>IFERROR(database_24_25!$O62/database_24_25!$P62,0)</f>
        <v>0.56896551724137934</v>
      </c>
      <c r="S62" s="5">
        <v>2.7</v>
      </c>
      <c r="T62" s="5">
        <v>3.2</v>
      </c>
      <c r="U62" s="6">
        <f>IFERROR(database_24_25!$S62/database_24_25!$T62,0)</f>
        <v>0.84375</v>
      </c>
      <c r="V62" s="5">
        <v>0.7</v>
      </c>
      <c r="W62" s="5">
        <v>3</v>
      </c>
      <c r="X62" s="5">
        <v>3.7</v>
      </c>
      <c r="Y62" s="5">
        <v>8.8000000000000007</v>
      </c>
      <c r="Z62" s="5">
        <v>1.2</v>
      </c>
      <c r="AA62" s="5">
        <v>0.6</v>
      </c>
      <c r="AB62" s="5">
        <v>1.8</v>
      </c>
      <c r="AC62" s="5">
        <v>1.4</v>
      </c>
      <c r="AD62" s="5">
        <v>18.100000000000001</v>
      </c>
    </row>
    <row r="63" spans="1:30" x14ac:dyDescent="0.25">
      <c r="A63" s="7">
        <v>610</v>
      </c>
      <c r="B63" s="7" t="s">
        <v>121</v>
      </c>
      <c r="C63" s="7">
        <v>26</v>
      </c>
      <c r="D63" s="7" t="s">
        <v>37</v>
      </c>
      <c r="E63" s="7" t="s">
        <v>27</v>
      </c>
      <c r="F63" s="7">
        <v>20</v>
      </c>
      <c r="G63" s="7">
        <v>20</v>
      </c>
      <c r="H63" s="7">
        <v>31.1</v>
      </c>
      <c r="I63" s="7">
        <v>6.4</v>
      </c>
      <c r="J63" s="7">
        <v>15.4</v>
      </c>
      <c r="K63" s="6">
        <f>IFERROR(database_24_25!$I63/database_24_25!$J63,0)</f>
        <v>0.41558441558441561</v>
      </c>
      <c r="L63" s="7">
        <v>2</v>
      </c>
      <c r="M63" s="7">
        <v>6.9</v>
      </c>
      <c r="N63" s="6">
        <f>IFERROR(database_24_25!$L63/database_24_25!$M63,0)</f>
        <v>0.28985507246376813</v>
      </c>
      <c r="O63" s="7">
        <v>4.5</v>
      </c>
      <c r="P63" s="5">
        <f>database_24_25!$Q63/10</f>
        <v>8.6</v>
      </c>
      <c r="Q63" s="7">
        <v>86</v>
      </c>
      <c r="R63" s="6">
        <f>IFERROR(database_24_25!$O63/database_24_25!$P63,0)</f>
        <v>0.52325581395348841</v>
      </c>
      <c r="S63" s="7">
        <v>3.3</v>
      </c>
      <c r="T63" s="7">
        <v>3.8</v>
      </c>
      <c r="U63" s="6">
        <f>IFERROR(database_24_25!$S63/database_24_25!$T63,0)</f>
        <v>0.86842105263157898</v>
      </c>
      <c r="V63" s="7">
        <v>0.9</v>
      </c>
      <c r="W63" s="7">
        <v>6.9</v>
      </c>
      <c r="X63" s="7">
        <v>7.8</v>
      </c>
      <c r="Y63" s="7">
        <v>3.7</v>
      </c>
      <c r="Z63" s="7">
        <v>0.7</v>
      </c>
      <c r="AA63" s="7">
        <v>0.7</v>
      </c>
      <c r="AB63" s="7">
        <v>2.1</v>
      </c>
      <c r="AC63" s="7">
        <v>1.4</v>
      </c>
      <c r="AD63" s="7">
        <v>18.100000000000001</v>
      </c>
    </row>
    <row r="64" spans="1:30" x14ac:dyDescent="0.25">
      <c r="A64" s="5">
        <v>630</v>
      </c>
      <c r="B64" s="5" t="s">
        <v>123</v>
      </c>
      <c r="C64" s="5">
        <v>21</v>
      </c>
      <c r="D64" s="5" t="s">
        <v>124</v>
      </c>
      <c r="E64" s="5" t="s">
        <v>58</v>
      </c>
      <c r="F64" s="5">
        <v>25</v>
      </c>
      <c r="G64" s="5">
        <v>23</v>
      </c>
      <c r="H64" s="5">
        <v>31.1</v>
      </c>
      <c r="I64" s="5">
        <v>6.6</v>
      </c>
      <c r="J64" s="5">
        <v>14.7</v>
      </c>
      <c r="K64" s="6">
        <f>IFERROR(database_24_25!$I64/database_24_25!$J64,0)</f>
        <v>0.44897959183673469</v>
      </c>
      <c r="L64" s="5">
        <v>1.8</v>
      </c>
      <c r="M64" s="5">
        <v>6.2</v>
      </c>
      <c r="N64" s="6">
        <f>IFERROR(database_24_25!$L64/database_24_25!$M64,0)</f>
        <v>0.29032258064516131</v>
      </c>
      <c r="O64" s="5">
        <v>4.8</v>
      </c>
      <c r="P64" s="5">
        <f>database_24_25!$Q64/10</f>
        <v>8.5</v>
      </c>
      <c r="Q64" s="5">
        <v>85</v>
      </c>
      <c r="R64" s="6">
        <f>IFERROR(database_24_25!$O64/database_24_25!$P64,0)</f>
        <v>0.56470588235294117</v>
      </c>
      <c r="S64" s="5">
        <v>2.8</v>
      </c>
      <c r="T64" s="5">
        <v>3.5</v>
      </c>
      <c r="U64" s="6">
        <f>IFERROR(database_24_25!$S64/database_24_25!$T64,0)</f>
        <v>0.79999999999999993</v>
      </c>
      <c r="V64" s="5">
        <v>0.6</v>
      </c>
      <c r="W64" s="5">
        <v>2.9</v>
      </c>
      <c r="X64" s="5">
        <v>3.6</v>
      </c>
      <c r="Y64" s="5">
        <v>2.4</v>
      </c>
      <c r="Z64" s="5">
        <v>0.8</v>
      </c>
      <c r="AA64" s="5">
        <v>0.2</v>
      </c>
      <c r="AB64" s="5">
        <v>1.7</v>
      </c>
      <c r="AC64" s="5">
        <v>1.8</v>
      </c>
      <c r="AD64" s="5">
        <v>17.899999999999999</v>
      </c>
    </row>
    <row r="65" spans="1:30" x14ac:dyDescent="0.25">
      <c r="A65" s="7">
        <v>640</v>
      </c>
      <c r="B65" s="7" t="s">
        <v>125</v>
      </c>
      <c r="C65" s="7">
        <v>24</v>
      </c>
      <c r="D65" s="7" t="s">
        <v>90</v>
      </c>
      <c r="E65" s="7" t="s">
        <v>58</v>
      </c>
      <c r="F65" s="7">
        <v>32</v>
      </c>
      <c r="G65" s="7">
        <v>32</v>
      </c>
      <c r="H65" s="7">
        <v>32.799999999999997</v>
      </c>
      <c r="I65" s="7">
        <v>6</v>
      </c>
      <c r="J65" s="7">
        <v>14.3</v>
      </c>
      <c r="K65" s="6">
        <f>IFERROR(database_24_25!$I65/database_24_25!$J65,0)</f>
        <v>0.41958041958041958</v>
      </c>
      <c r="L65" s="7">
        <v>3</v>
      </c>
      <c r="M65" s="7">
        <v>8.4</v>
      </c>
      <c r="N65" s="6">
        <f>IFERROR(database_24_25!$L65/database_24_25!$M65,0)</f>
        <v>0.35714285714285715</v>
      </c>
      <c r="O65" s="7">
        <v>3.1</v>
      </c>
      <c r="P65" s="5">
        <f>database_24_25!$Q65/10</f>
        <v>5.9</v>
      </c>
      <c r="Q65" s="7">
        <v>59</v>
      </c>
      <c r="R65" s="6">
        <f>IFERROR(database_24_25!$O65/database_24_25!$P65,0)</f>
        <v>0.52542372881355925</v>
      </c>
      <c r="S65" s="7">
        <v>2.9</v>
      </c>
      <c r="T65" s="7">
        <v>3.3</v>
      </c>
      <c r="U65" s="6">
        <f>IFERROR(database_24_25!$S65/database_24_25!$T65,0)</f>
        <v>0.87878787878787878</v>
      </c>
      <c r="V65" s="7">
        <v>0.4</v>
      </c>
      <c r="W65" s="7">
        <v>3.2</v>
      </c>
      <c r="X65" s="7">
        <v>3.5</v>
      </c>
      <c r="Y65" s="7">
        <v>4.7</v>
      </c>
      <c r="Z65" s="7">
        <v>1.1000000000000001</v>
      </c>
      <c r="AA65" s="7">
        <v>0.2</v>
      </c>
      <c r="AB65" s="7">
        <v>2.4</v>
      </c>
      <c r="AC65" s="7">
        <v>2.5</v>
      </c>
      <c r="AD65" s="7">
        <v>17.899999999999999</v>
      </c>
    </row>
    <row r="66" spans="1:30" x14ac:dyDescent="0.25">
      <c r="A66" s="7">
        <v>650</v>
      </c>
      <c r="B66" s="7" t="s">
        <v>126</v>
      </c>
      <c r="C66" s="7">
        <v>27</v>
      </c>
      <c r="D66" s="7" t="s">
        <v>114</v>
      </c>
      <c r="E66" s="7" t="s">
        <v>27</v>
      </c>
      <c r="F66" s="7">
        <v>26</v>
      </c>
      <c r="G66" s="7">
        <v>17</v>
      </c>
      <c r="H66" s="7">
        <v>30</v>
      </c>
      <c r="I66" s="7">
        <v>6.5</v>
      </c>
      <c r="J66" s="7">
        <v>12.3</v>
      </c>
      <c r="K66" s="6">
        <f>IFERROR(database_24_25!$I66/database_24_25!$J66,0)</f>
        <v>0.52845528455284552</v>
      </c>
      <c r="L66" s="7">
        <v>1.4</v>
      </c>
      <c r="M66" s="7">
        <v>3.3</v>
      </c>
      <c r="N66" s="6">
        <f>IFERROR(database_24_25!$L66/database_24_25!$M66,0)</f>
        <v>0.42424242424242425</v>
      </c>
      <c r="O66" s="7">
        <v>5.0999999999999996</v>
      </c>
      <c r="P66" s="5">
        <f>database_24_25!$Q66/10</f>
        <v>9.1</v>
      </c>
      <c r="Q66" s="7">
        <v>91</v>
      </c>
      <c r="R66" s="6">
        <f>IFERROR(database_24_25!$O66/database_24_25!$P66,0)</f>
        <v>0.56043956043956045</v>
      </c>
      <c r="S66" s="7">
        <v>3.4</v>
      </c>
      <c r="T66" s="7">
        <v>3.9</v>
      </c>
      <c r="U66" s="6">
        <f>IFERROR(database_24_25!$S66/database_24_25!$T66,0)</f>
        <v>0.87179487179487181</v>
      </c>
      <c r="V66" s="7">
        <v>2.2000000000000002</v>
      </c>
      <c r="W66" s="7">
        <v>6</v>
      </c>
      <c r="X66" s="7">
        <v>8.1999999999999993</v>
      </c>
      <c r="Y66" s="7">
        <v>2.5</v>
      </c>
      <c r="Z66" s="7">
        <v>1.1000000000000001</v>
      </c>
      <c r="AA66" s="7">
        <v>0.8</v>
      </c>
      <c r="AB66" s="7">
        <v>2.6</v>
      </c>
      <c r="AC66" s="7">
        <v>2.9</v>
      </c>
      <c r="AD66" s="7">
        <v>17.7</v>
      </c>
    </row>
    <row r="67" spans="1:30" x14ac:dyDescent="0.25">
      <c r="A67" s="5">
        <v>670</v>
      </c>
      <c r="B67" s="5" t="s">
        <v>128</v>
      </c>
      <c r="C67" s="5">
        <v>26</v>
      </c>
      <c r="D67" s="5" t="s">
        <v>114</v>
      </c>
      <c r="E67" s="5" t="s">
        <v>58</v>
      </c>
      <c r="F67" s="5">
        <v>32</v>
      </c>
      <c r="G67" s="5">
        <v>30</v>
      </c>
      <c r="H67" s="5">
        <v>28.5</v>
      </c>
      <c r="I67" s="5">
        <v>6.4</v>
      </c>
      <c r="J67" s="5">
        <v>12.9</v>
      </c>
      <c r="K67" s="6">
        <f>IFERROR(database_24_25!$I67/database_24_25!$J67,0)</f>
        <v>0.49612403100775193</v>
      </c>
      <c r="L67" s="5">
        <v>2</v>
      </c>
      <c r="M67" s="5">
        <v>4.5</v>
      </c>
      <c r="N67" s="6">
        <f>IFERROR(database_24_25!$L67/database_24_25!$M67,0)</f>
        <v>0.44444444444444442</v>
      </c>
      <c r="O67" s="5">
        <v>4.4000000000000004</v>
      </c>
      <c r="P67" s="5">
        <f>database_24_25!$Q67/10</f>
        <v>8.4</v>
      </c>
      <c r="Q67" s="5">
        <v>84</v>
      </c>
      <c r="R67" s="6">
        <f>IFERROR(database_24_25!$O67/database_24_25!$P67,0)</f>
        <v>0.52380952380952384</v>
      </c>
      <c r="S67" s="5">
        <v>2.9</v>
      </c>
      <c r="T67" s="5">
        <v>3.3</v>
      </c>
      <c r="U67" s="6">
        <f>IFERROR(database_24_25!$S67/database_24_25!$T67,0)</f>
        <v>0.87878787878787878</v>
      </c>
      <c r="V67" s="5">
        <v>0.9</v>
      </c>
      <c r="W67" s="5">
        <v>1.8</v>
      </c>
      <c r="X67" s="5">
        <v>2.7</v>
      </c>
      <c r="Y67" s="5">
        <v>3.8</v>
      </c>
      <c r="Z67" s="5">
        <v>0.8</v>
      </c>
      <c r="AA67" s="5">
        <v>0.1</v>
      </c>
      <c r="AB67" s="5">
        <v>2.6</v>
      </c>
      <c r="AC67" s="5">
        <v>2.2999999999999998</v>
      </c>
      <c r="AD67" s="5">
        <v>17.7</v>
      </c>
    </row>
    <row r="68" spans="1:30" x14ac:dyDescent="0.25">
      <c r="A68" s="7">
        <v>680</v>
      </c>
      <c r="B68" s="7" t="s">
        <v>129</v>
      </c>
      <c r="C68" s="7">
        <v>25</v>
      </c>
      <c r="D68" s="7" t="s">
        <v>124</v>
      </c>
      <c r="E68" s="7" t="s">
        <v>58</v>
      </c>
      <c r="F68" s="7">
        <v>30</v>
      </c>
      <c r="G68" s="7">
        <v>30</v>
      </c>
      <c r="H68" s="7">
        <v>31.4</v>
      </c>
      <c r="I68" s="7">
        <v>6.3</v>
      </c>
      <c r="J68" s="7">
        <v>15.1</v>
      </c>
      <c r="K68" s="6">
        <f>IFERROR(database_24_25!$I68/database_24_25!$J68,0)</f>
        <v>0.41721854304635764</v>
      </c>
      <c r="L68" s="7">
        <v>2.6</v>
      </c>
      <c r="M68" s="7">
        <v>7.8</v>
      </c>
      <c r="N68" s="6">
        <f>IFERROR(database_24_25!$L68/database_24_25!$M68,0)</f>
        <v>0.33333333333333337</v>
      </c>
      <c r="O68" s="7">
        <v>3.7</v>
      </c>
      <c r="P68" s="5">
        <f>database_24_25!$Q68/10</f>
        <v>7.3</v>
      </c>
      <c r="Q68" s="7">
        <v>73</v>
      </c>
      <c r="R68" s="6">
        <f>IFERROR(database_24_25!$O68/database_24_25!$P68,0)</f>
        <v>0.50684931506849318</v>
      </c>
      <c r="S68" s="7">
        <v>2.5</v>
      </c>
      <c r="T68" s="7">
        <v>2.8</v>
      </c>
      <c r="U68" s="6">
        <f>IFERROR(database_24_25!$S68/database_24_25!$T68,0)</f>
        <v>0.8928571428571429</v>
      </c>
      <c r="V68" s="7">
        <v>0.3</v>
      </c>
      <c r="W68" s="7">
        <v>2.4</v>
      </c>
      <c r="X68" s="7">
        <v>2.7</v>
      </c>
      <c r="Y68" s="7">
        <v>4.9000000000000004</v>
      </c>
      <c r="Z68" s="7">
        <v>1</v>
      </c>
      <c r="AA68" s="7">
        <v>0.1</v>
      </c>
      <c r="AB68" s="7">
        <v>2.4</v>
      </c>
      <c r="AC68" s="7">
        <v>2</v>
      </c>
      <c r="AD68" s="7">
        <v>17.7</v>
      </c>
    </row>
    <row r="69" spans="1:30" x14ac:dyDescent="0.25">
      <c r="A69" s="5">
        <v>660</v>
      </c>
      <c r="B69" s="5" t="s">
        <v>127</v>
      </c>
      <c r="C69" s="5">
        <v>29</v>
      </c>
      <c r="D69" s="5" t="s">
        <v>41</v>
      </c>
      <c r="E69" s="5" t="s">
        <v>35</v>
      </c>
      <c r="F69" s="5">
        <v>12</v>
      </c>
      <c r="G69" s="5">
        <v>12</v>
      </c>
      <c r="H69" s="5">
        <v>27.3</v>
      </c>
      <c r="I69" s="5">
        <v>5.8</v>
      </c>
      <c r="J69" s="5">
        <v>13</v>
      </c>
      <c r="K69" s="6">
        <f>IFERROR(database_24_25!$I69/database_24_25!$J69,0)</f>
        <v>0.44615384615384612</v>
      </c>
      <c r="L69" s="5">
        <v>2</v>
      </c>
      <c r="M69" s="5">
        <v>5.8</v>
      </c>
      <c r="N69" s="6">
        <f>IFERROR(database_24_25!$L69/database_24_25!$M69,0)</f>
        <v>0.34482758620689657</v>
      </c>
      <c r="O69" s="5">
        <v>3.8</v>
      </c>
      <c r="P69" s="5">
        <f>database_24_25!$Q69/10</f>
        <v>7.2</v>
      </c>
      <c r="Q69" s="5">
        <v>72</v>
      </c>
      <c r="R69" s="6">
        <f>IFERROR(database_24_25!$O69/database_24_25!$P69,0)</f>
        <v>0.52777777777777779</v>
      </c>
      <c r="S69" s="5">
        <v>4</v>
      </c>
      <c r="T69" s="5">
        <v>4.8</v>
      </c>
      <c r="U69" s="6">
        <f>IFERROR(database_24_25!$S69/database_24_25!$T69,0)</f>
        <v>0.83333333333333337</v>
      </c>
      <c r="V69" s="5">
        <v>1.3</v>
      </c>
      <c r="W69" s="5">
        <v>4.9000000000000004</v>
      </c>
      <c r="X69" s="5">
        <v>6.3</v>
      </c>
      <c r="Y69" s="5">
        <v>1.7</v>
      </c>
      <c r="Z69" s="5">
        <v>0.7</v>
      </c>
      <c r="AA69" s="5">
        <v>1.5</v>
      </c>
      <c r="AB69" s="5">
        <v>0.8</v>
      </c>
      <c r="AC69" s="5">
        <v>2.2999999999999998</v>
      </c>
      <c r="AD69" s="5">
        <v>17.7</v>
      </c>
    </row>
    <row r="70" spans="1:30" x14ac:dyDescent="0.25">
      <c r="A70" s="5">
        <v>690</v>
      </c>
      <c r="B70" s="5" t="s">
        <v>130</v>
      </c>
      <c r="C70" s="5">
        <v>35</v>
      </c>
      <c r="D70" s="5" t="s">
        <v>70</v>
      </c>
      <c r="E70" s="5" t="s">
        <v>27</v>
      </c>
      <c r="F70" s="5">
        <v>22</v>
      </c>
      <c r="G70" s="5">
        <v>22</v>
      </c>
      <c r="H70" s="5">
        <v>30.8</v>
      </c>
      <c r="I70" s="5">
        <v>5.8</v>
      </c>
      <c r="J70" s="5">
        <v>10.5</v>
      </c>
      <c r="K70" s="6">
        <f>IFERROR(database_24_25!$I70/database_24_25!$J70,0)</f>
        <v>0.55238095238095242</v>
      </c>
      <c r="L70" s="5">
        <v>0.5</v>
      </c>
      <c r="M70" s="5">
        <v>1.5</v>
      </c>
      <c r="N70" s="6">
        <f>IFERROR(database_24_25!$L70/database_24_25!$M70,0)</f>
        <v>0.33333333333333331</v>
      </c>
      <c r="O70" s="5">
        <v>5.3</v>
      </c>
      <c r="P70" s="5">
        <f>database_24_25!$Q70/10</f>
        <v>9.1</v>
      </c>
      <c r="Q70" s="5">
        <v>91</v>
      </c>
      <c r="R70" s="6">
        <f>IFERROR(database_24_25!$O70/database_24_25!$P70,0)</f>
        <v>0.58241758241758246</v>
      </c>
      <c r="S70" s="5">
        <v>5.4</v>
      </c>
      <c r="T70" s="5">
        <v>6.9</v>
      </c>
      <c r="U70" s="6">
        <f>IFERROR(database_24_25!$S70/database_24_25!$T70,0)</f>
        <v>0.78260869565217395</v>
      </c>
      <c r="V70" s="5">
        <v>2.2999999999999998</v>
      </c>
      <c r="W70" s="5">
        <v>3.2</v>
      </c>
      <c r="X70" s="5">
        <v>5.5</v>
      </c>
      <c r="Y70" s="5">
        <v>4.7</v>
      </c>
      <c r="Z70" s="5">
        <v>1.2</v>
      </c>
      <c r="AA70" s="5">
        <v>0.4</v>
      </c>
      <c r="AB70" s="5">
        <v>1.2</v>
      </c>
      <c r="AC70" s="5">
        <v>1</v>
      </c>
      <c r="AD70" s="5">
        <v>17.600000000000001</v>
      </c>
    </row>
    <row r="71" spans="1:30" x14ac:dyDescent="0.25">
      <c r="A71" s="7">
        <v>700</v>
      </c>
      <c r="B71" s="7" t="s">
        <v>131</v>
      </c>
      <c r="C71" s="7">
        <v>22</v>
      </c>
      <c r="D71" s="7" t="s">
        <v>73</v>
      </c>
      <c r="E71" s="7" t="s">
        <v>58</v>
      </c>
      <c r="F71" s="7">
        <v>30</v>
      </c>
      <c r="G71" s="7">
        <v>30</v>
      </c>
      <c r="H71" s="7">
        <v>29.9</v>
      </c>
      <c r="I71" s="7">
        <v>6.3</v>
      </c>
      <c r="J71" s="7">
        <v>13.8</v>
      </c>
      <c r="K71" s="6">
        <f>IFERROR(database_24_25!$I71/database_24_25!$J71,0)</f>
        <v>0.45652173913043476</v>
      </c>
      <c r="L71" s="7">
        <v>2.1</v>
      </c>
      <c r="M71" s="7">
        <v>5.0999999999999996</v>
      </c>
      <c r="N71" s="6">
        <f>IFERROR(database_24_25!$L71/database_24_25!$M71,0)</f>
        <v>0.41176470588235298</v>
      </c>
      <c r="O71" s="7">
        <v>4.2</v>
      </c>
      <c r="P71" s="5">
        <f>database_24_25!$Q71/10</f>
        <v>8.6</v>
      </c>
      <c r="Q71" s="7">
        <v>86</v>
      </c>
      <c r="R71" s="6">
        <f>IFERROR(database_24_25!$O71/database_24_25!$P71,0)</f>
        <v>0.48837209302325585</v>
      </c>
      <c r="S71" s="7">
        <v>2.8</v>
      </c>
      <c r="T71" s="7">
        <v>3.9</v>
      </c>
      <c r="U71" s="6">
        <f>IFERROR(database_24_25!$S71/database_24_25!$T71,0)</f>
        <v>0.71794871794871795</v>
      </c>
      <c r="V71" s="7">
        <v>1.3</v>
      </c>
      <c r="W71" s="7">
        <v>2.8</v>
      </c>
      <c r="X71" s="7">
        <v>4.0999999999999996</v>
      </c>
      <c r="Y71" s="7">
        <v>4</v>
      </c>
      <c r="Z71" s="7">
        <v>0.9</v>
      </c>
      <c r="AA71" s="7">
        <v>0.4</v>
      </c>
      <c r="AB71" s="7">
        <v>3</v>
      </c>
      <c r="AC71" s="7">
        <v>2.2000000000000002</v>
      </c>
      <c r="AD71" s="7">
        <v>17.600000000000001</v>
      </c>
    </row>
    <row r="72" spans="1:30" x14ac:dyDescent="0.25">
      <c r="A72" s="7">
        <v>710</v>
      </c>
      <c r="B72" s="7" t="s">
        <v>132</v>
      </c>
      <c r="C72" s="7">
        <v>21</v>
      </c>
      <c r="D72" s="7" t="s">
        <v>77</v>
      </c>
      <c r="E72" s="7" t="s">
        <v>58</v>
      </c>
      <c r="F72" s="7">
        <v>29</v>
      </c>
      <c r="G72" s="7">
        <v>29</v>
      </c>
      <c r="H72" s="7">
        <v>31.8</v>
      </c>
      <c r="I72" s="7">
        <v>5.9</v>
      </c>
      <c r="J72" s="7">
        <v>14.3</v>
      </c>
      <c r="K72" s="6">
        <f>IFERROR(database_24_25!$I72/database_24_25!$J72,0)</f>
        <v>0.41258741258741261</v>
      </c>
      <c r="L72" s="7">
        <v>2.4</v>
      </c>
      <c r="M72" s="7">
        <v>7</v>
      </c>
      <c r="N72" s="6">
        <f>IFERROR(database_24_25!$L72/database_24_25!$M72,0)</f>
        <v>0.34285714285714286</v>
      </c>
      <c r="O72" s="7">
        <v>3.5</v>
      </c>
      <c r="P72" s="5">
        <f>database_24_25!$Q72/10</f>
        <v>7.3</v>
      </c>
      <c r="Q72" s="7">
        <v>73</v>
      </c>
      <c r="R72" s="6">
        <f>IFERROR(database_24_25!$O72/database_24_25!$P72,0)</f>
        <v>0.47945205479452058</v>
      </c>
      <c r="S72" s="7">
        <v>3.1</v>
      </c>
      <c r="T72" s="7">
        <v>3.5</v>
      </c>
      <c r="U72" s="6">
        <f>IFERROR(database_24_25!$S72/database_24_25!$T72,0)</f>
        <v>0.88571428571428579</v>
      </c>
      <c r="V72" s="7">
        <v>0.8</v>
      </c>
      <c r="W72" s="7">
        <v>2.7</v>
      </c>
      <c r="X72" s="7">
        <v>3.6</v>
      </c>
      <c r="Y72" s="7">
        <v>2.1</v>
      </c>
      <c r="Z72" s="7">
        <v>1</v>
      </c>
      <c r="AA72" s="7">
        <v>0.2</v>
      </c>
      <c r="AB72" s="7">
        <v>1.8</v>
      </c>
      <c r="AC72" s="7">
        <v>2.4</v>
      </c>
      <c r="AD72" s="7">
        <v>17.399999999999999</v>
      </c>
    </row>
    <row r="73" spans="1:30" x14ac:dyDescent="0.25">
      <c r="A73" s="5">
        <v>720</v>
      </c>
      <c r="B73" s="5" t="s">
        <v>133</v>
      </c>
      <c r="C73" s="5">
        <v>30</v>
      </c>
      <c r="D73" s="5" t="s">
        <v>41</v>
      </c>
      <c r="E73" s="5" t="s">
        <v>58</v>
      </c>
      <c r="F73" s="5">
        <v>34</v>
      </c>
      <c r="G73" s="5">
        <v>34</v>
      </c>
      <c r="H73" s="5">
        <v>34.299999999999997</v>
      </c>
      <c r="I73" s="5">
        <v>6</v>
      </c>
      <c r="J73" s="5">
        <v>13.1</v>
      </c>
      <c r="K73" s="6">
        <f>IFERROR(database_24_25!$I73/database_24_25!$J73,0)</f>
        <v>0.4580152671755725</v>
      </c>
      <c r="L73" s="5">
        <v>3.6</v>
      </c>
      <c r="M73" s="5">
        <v>9.1</v>
      </c>
      <c r="N73" s="6">
        <f>IFERROR(database_24_25!$L73/database_24_25!$M73,0)</f>
        <v>0.39560439560439564</v>
      </c>
      <c r="O73" s="5">
        <v>2.4</v>
      </c>
      <c r="P73" s="5">
        <f>database_24_25!$Q73/10</f>
        <v>4</v>
      </c>
      <c r="Q73" s="5">
        <v>40</v>
      </c>
      <c r="R73" s="6">
        <f>IFERROR(database_24_25!$O73/database_24_25!$P73,0)</f>
        <v>0.6</v>
      </c>
      <c r="S73" s="5">
        <v>1.7</v>
      </c>
      <c r="T73" s="5">
        <v>2.1</v>
      </c>
      <c r="U73" s="6">
        <f>IFERROR(database_24_25!$S73/database_24_25!$T73,0)</f>
        <v>0.80952380952380942</v>
      </c>
      <c r="V73" s="5">
        <v>1</v>
      </c>
      <c r="W73" s="5">
        <v>3.6</v>
      </c>
      <c r="X73" s="5">
        <v>4.5</v>
      </c>
      <c r="Y73" s="5">
        <v>4.4000000000000004</v>
      </c>
      <c r="Z73" s="5">
        <v>0.9</v>
      </c>
      <c r="AA73" s="5">
        <v>1.2</v>
      </c>
      <c r="AB73" s="5">
        <v>1.7</v>
      </c>
      <c r="AC73" s="5">
        <v>2.1</v>
      </c>
      <c r="AD73" s="5">
        <v>17.3</v>
      </c>
    </row>
    <row r="74" spans="1:30" x14ac:dyDescent="0.25">
      <c r="A74" s="7">
        <v>730</v>
      </c>
      <c r="B74" s="7" t="s">
        <v>134</v>
      </c>
      <c r="C74" s="7">
        <v>22</v>
      </c>
      <c r="D74" s="7" t="s">
        <v>86</v>
      </c>
      <c r="E74" s="7" t="s">
        <v>27</v>
      </c>
      <c r="F74" s="7">
        <v>31</v>
      </c>
      <c r="G74" s="7">
        <v>10</v>
      </c>
      <c r="H74" s="7">
        <v>26.4</v>
      </c>
      <c r="I74" s="7">
        <v>6.1</v>
      </c>
      <c r="J74" s="7">
        <v>13.5</v>
      </c>
      <c r="K74" s="6">
        <f>IFERROR(database_24_25!$I74/database_24_25!$J74,0)</f>
        <v>0.45185185185185184</v>
      </c>
      <c r="L74" s="7">
        <v>1.2</v>
      </c>
      <c r="M74" s="7">
        <v>3.6</v>
      </c>
      <c r="N74" s="6">
        <f>IFERROR(database_24_25!$L74/database_24_25!$M74,0)</f>
        <v>0.33333333333333331</v>
      </c>
      <c r="O74" s="7">
        <v>4.9000000000000004</v>
      </c>
      <c r="P74" s="5">
        <f>database_24_25!$Q74/10</f>
        <v>9.8000000000000007</v>
      </c>
      <c r="Q74" s="7">
        <v>98</v>
      </c>
      <c r="R74" s="6">
        <f>IFERROR(database_24_25!$O74/database_24_25!$P74,0)</f>
        <v>0.5</v>
      </c>
      <c r="S74" s="7">
        <v>3.4</v>
      </c>
      <c r="T74" s="7">
        <v>5.3</v>
      </c>
      <c r="U74" s="6">
        <f>IFERROR(database_24_25!$S74/database_24_25!$T74,0)</f>
        <v>0.64150943396226412</v>
      </c>
      <c r="V74" s="7">
        <v>1.4</v>
      </c>
      <c r="W74" s="7">
        <v>3.6</v>
      </c>
      <c r="X74" s="7">
        <v>5.0999999999999996</v>
      </c>
      <c r="Y74" s="7">
        <v>2.2000000000000002</v>
      </c>
      <c r="Z74" s="7">
        <v>0.9</v>
      </c>
      <c r="AA74" s="7">
        <v>0.6</v>
      </c>
      <c r="AB74" s="7">
        <v>1.5</v>
      </c>
      <c r="AC74" s="7">
        <v>2</v>
      </c>
      <c r="AD74" s="7">
        <v>16.899999999999999</v>
      </c>
    </row>
    <row r="75" spans="1:30" x14ac:dyDescent="0.25">
      <c r="A75" s="7">
        <v>740</v>
      </c>
      <c r="B75" s="7" t="s">
        <v>135</v>
      </c>
      <c r="C75" s="7">
        <v>32</v>
      </c>
      <c r="D75" s="7" t="s">
        <v>114</v>
      </c>
      <c r="E75" s="7" t="s">
        <v>58</v>
      </c>
      <c r="F75" s="7">
        <v>21</v>
      </c>
      <c r="G75" s="7">
        <v>3</v>
      </c>
      <c r="H75" s="7">
        <v>26.7</v>
      </c>
      <c r="I75" s="7">
        <v>5.6</v>
      </c>
      <c r="J75" s="7">
        <v>13.6</v>
      </c>
      <c r="K75" s="6">
        <f>IFERROR(database_24_25!$I75/database_24_25!$J75,0)</f>
        <v>0.41176470588235292</v>
      </c>
      <c r="L75" s="7">
        <v>2</v>
      </c>
      <c r="M75" s="7">
        <v>5.7</v>
      </c>
      <c r="N75" s="6">
        <f>IFERROR(database_24_25!$L75/database_24_25!$M75,0)</f>
        <v>0.35087719298245612</v>
      </c>
      <c r="O75" s="7">
        <v>3.7</v>
      </c>
      <c r="P75" s="5">
        <f>database_24_25!$Q75/10</f>
        <v>7.9</v>
      </c>
      <c r="Q75" s="7">
        <v>79</v>
      </c>
      <c r="R75" s="6">
        <f>IFERROR(database_24_25!$O75/database_24_25!$P75,0)</f>
        <v>0.46835443037974683</v>
      </c>
      <c r="S75" s="7">
        <v>3.5</v>
      </c>
      <c r="T75" s="7">
        <v>4.3</v>
      </c>
      <c r="U75" s="6">
        <f>IFERROR(database_24_25!$S75/database_24_25!$T75,0)</f>
        <v>0.81395348837209303</v>
      </c>
      <c r="V75" s="7">
        <v>0.7</v>
      </c>
      <c r="W75" s="7">
        <v>2.9</v>
      </c>
      <c r="X75" s="7">
        <v>3.5</v>
      </c>
      <c r="Y75" s="7">
        <v>4</v>
      </c>
      <c r="Z75" s="7">
        <v>0.9</v>
      </c>
      <c r="AA75" s="7">
        <v>0.3</v>
      </c>
      <c r="AB75" s="7">
        <v>2.6</v>
      </c>
      <c r="AC75" s="7">
        <v>1.6</v>
      </c>
      <c r="AD75" s="7">
        <v>16.7</v>
      </c>
    </row>
    <row r="76" spans="1:30" x14ac:dyDescent="0.25">
      <c r="A76" s="5">
        <v>750</v>
      </c>
      <c r="B76" s="5" t="s">
        <v>136</v>
      </c>
      <c r="C76" s="5">
        <v>22</v>
      </c>
      <c r="D76" s="5" t="s">
        <v>108</v>
      </c>
      <c r="E76" s="5" t="s">
        <v>58</v>
      </c>
      <c r="F76" s="5">
        <v>35</v>
      </c>
      <c r="G76" s="5">
        <v>30</v>
      </c>
      <c r="H76" s="5">
        <v>32.9</v>
      </c>
      <c r="I76" s="5">
        <v>5.7</v>
      </c>
      <c r="J76" s="5">
        <v>12.4</v>
      </c>
      <c r="K76" s="6">
        <f>IFERROR(database_24_25!$I76/database_24_25!$J76,0)</f>
        <v>0.45967741935483869</v>
      </c>
      <c r="L76" s="5">
        <v>1.5</v>
      </c>
      <c r="M76" s="5">
        <v>4</v>
      </c>
      <c r="N76" s="6">
        <f>IFERROR(database_24_25!$L76/database_24_25!$M76,0)</f>
        <v>0.375</v>
      </c>
      <c r="O76" s="5">
        <v>4.3</v>
      </c>
      <c r="P76" s="5">
        <f>database_24_25!$Q76/10</f>
        <v>8.4</v>
      </c>
      <c r="Q76" s="5">
        <v>84</v>
      </c>
      <c r="R76" s="6">
        <f>IFERROR(database_24_25!$O76/database_24_25!$P76,0)</f>
        <v>0.51190476190476186</v>
      </c>
      <c r="S76" s="5">
        <v>3.8</v>
      </c>
      <c r="T76" s="5">
        <v>4.5999999999999996</v>
      </c>
      <c r="U76" s="6">
        <f>IFERROR(database_24_25!$S76/database_24_25!$T76,0)</f>
        <v>0.82608695652173914</v>
      </c>
      <c r="V76" s="5">
        <v>1.3</v>
      </c>
      <c r="W76" s="5">
        <v>4.8</v>
      </c>
      <c r="X76" s="5">
        <v>6.1</v>
      </c>
      <c r="Y76" s="5">
        <v>1.8</v>
      </c>
      <c r="Z76" s="5">
        <v>0.7</v>
      </c>
      <c r="AA76" s="5">
        <v>0.4</v>
      </c>
      <c r="AB76" s="5">
        <v>2.1</v>
      </c>
      <c r="AC76" s="5">
        <v>2.6</v>
      </c>
      <c r="AD76" s="5">
        <v>16.7</v>
      </c>
    </row>
    <row r="77" spans="1:30" x14ac:dyDescent="0.25">
      <c r="A77" s="5">
        <v>760</v>
      </c>
      <c r="B77" s="5" t="s">
        <v>137</v>
      </c>
      <c r="C77" s="5">
        <v>27</v>
      </c>
      <c r="D77" s="5" t="s">
        <v>55</v>
      </c>
      <c r="E77" s="5" t="s">
        <v>27</v>
      </c>
      <c r="F77" s="5">
        <v>35</v>
      </c>
      <c r="G77" s="5">
        <v>35</v>
      </c>
      <c r="H77" s="5">
        <v>36.6</v>
      </c>
      <c r="I77" s="5">
        <v>6.3</v>
      </c>
      <c r="J77" s="5">
        <v>13.2</v>
      </c>
      <c r="K77" s="6">
        <f>IFERROR(database_24_25!$I77/database_24_25!$J77,0)</f>
        <v>0.47727272727272729</v>
      </c>
      <c r="L77" s="5">
        <v>2.1</v>
      </c>
      <c r="M77" s="5">
        <v>6</v>
      </c>
      <c r="N77" s="6">
        <f>IFERROR(database_24_25!$L77/database_24_25!$M77,0)</f>
        <v>0.35000000000000003</v>
      </c>
      <c r="O77" s="5">
        <v>4.2</v>
      </c>
      <c r="P77" s="5">
        <f>database_24_25!$Q77/10</f>
        <v>7.2</v>
      </c>
      <c r="Q77" s="5">
        <v>72</v>
      </c>
      <c r="R77" s="6">
        <f>IFERROR(database_24_25!$O77/database_24_25!$P77,0)</f>
        <v>0.58333333333333337</v>
      </c>
      <c r="S77" s="5">
        <v>1.9</v>
      </c>
      <c r="T77" s="5">
        <v>2.4</v>
      </c>
      <c r="U77" s="6">
        <f>IFERROR(database_24_25!$S77/database_24_25!$T77,0)</f>
        <v>0.79166666666666663</v>
      </c>
      <c r="V77" s="5">
        <v>1.2</v>
      </c>
      <c r="W77" s="5">
        <v>3.8</v>
      </c>
      <c r="X77" s="5">
        <v>4.9000000000000004</v>
      </c>
      <c r="Y77" s="5">
        <v>2</v>
      </c>
      <c r="Z77" s="5">
        <v>1.5</v>
      </c>
      <c r="AA77" s="5">
        <v>1</v>
      </c>
      <c r="AB77" s="5">
        <v>1.3</v>
      </c>
      <c r="AC77" s="5">
        <v>2.5</v>
      </c>
      <c r="AD77" s="5">
        <v>16.600000000000001</v>
      </c>
    </row>
    <row r="78" spans="1:30" x14ac:dyDescent="0.25">
      <c r="A78" s="5">
        <v>790</v>
      </c>
      <c r="B78" s="5" t="s">
        <v>140</v>
      </c>
      <c r="C78" s="5">
        <v>26</v>
      </c>
      <c r="D78" s="5" t="s">
        <v>47</v>
      </c>
      <c r="E78" s="5" t="s">
        <v>58</v>
      </c>
      <c r="F78" s="5">
        <v>28</v>
      </c>
      <c r="G78" s="5">
        <v>15</v>
      </c>
      <c r="H78" s="5">
        <v>30.3</v>
      </c>
      <c r="I78" s="5">
        <v>5.8</v>
      </c>
      <c r="J78" s="5">
        <v>13.3</v>
      </c>
      <c r="K78" s="6">
        <f>IFERROR(database_24_25!$I78/database_24_25!$J78,0)</f>
        <v>0.43609022556390975</v>
      </c>
      <c r="L78" s="5">
        <v>2.4</v>
      </c>
      <c r="M78" s="5">
        <v>6.9</v>
      </c>
      <c r="N78" s="6">
        <f>IFERROR(database_24_25!$L78/database_24_25!$M78,0)</f>
        <v>0.34782608695652173</v>
      </c>
      <c r="O78" s="5">
        <v>3.4</v>
      </c>
      <c r="P78" s="5">
        <f>database_24_25!$Q78/10</f>
        <v>6.4</v>
      </c>
      <c r="Q78" s="5">
        <v>64</v>
      </c>
      <c r="R78" s="6">
        <f>IFERROR(database_24_25!$O78/database_24_25!$P78,0)</f>
        <v>0.53125</v>
      </c>
      <c r="S78" s="5">
        <v>2.4</v>
      </c>
      <c r="T78" s="5">
        <v>2.8</v>
      </c>
      <c r="U78" s="6">
        <f>IFERROR(database_24_25!$S78/database_24_25!$T78,0)</f>
        <v>0.85714285714285721</v>
      </c>
      <c r="V78" s="5">
        <v>0.3</v>
      </c>
      <c r="W78" s="5">
        <v>3.4</v>
      </c>
      <c r="X78" s="5">
        <v>3.6</v>
      </c>
      <c r="Y78" s="5">
        <v>4.9000000000000004</v>
      </c>
      <c r="Z78" s="5">
        <v>0.8</v>
      </c>
      <c r="AA78" s="5">
        <v>0.5</v>
      </c>
      <c r="AB78" s="5">
        <v>1.9</v>
      </c>
      <c r="AC78" s="5">
        <v>2.4</v>
      </c>
      <c r="AD78" s="5">
        <v>16.5</v>
      </c>
    </row>
    <row r="79" spans="1:30" x14ac:dyDescent="0.25">
      <c r="A79" s="7">
        <v>770</v>
      </c>
      <c r="B79" s="7" t="s">
        <v>138</v>
      </c>
      <c r="C79" s="7">
        <v>27</v>
      </c>
      <c r="D79" s="7" t="s">
        <v>70</v>
      </c>
      <c r="E79" s="7" t="s">
        <v>35</v>
      </c>
      <c r="F79" s="7">
        <v>32</v>
      </c>
      <c r="G79" s="7">
        <v>32</v>
      </c>
      <c r="H79" s="7">
        <v>34.5</v>
      </c>
      <c r="I79" s="7">
        <v>6.3</v>
      </c>
      <c r="J79" s="7">
        <v>13.7</v>
      </c>
      <c r="K79" s="6">
        <f>IFERROR(database_24_25!$I79/database_24_25!$J79,0)</f>
        <v>0.45985401459854014</v>
      </c>
      <c r="L79" s="7">
        <v>0.7</v>
      </c>
      <c r="M79" s="7">
        <v>2.6</v>
      </c>
      <c r="N79" s="6">
        <f>IFERROR(database_24_25!$L79/database_24_25!$M79,0)</f>
        <v>0.26923076923076922</v>
      </c>
      <c r="O79" s="7">
        <v>5.6</v>
      </c>
      <c r="P79" s="5">
        <f>database_24_25!$Q79/10</f>
        <v>11.1</v>
      </c>
      <c r="Q79" s="7">
        <v>111</v>
      </c>
      <c r="R79" s="6">
        <f>IFERROR(database_24_25!$O79/database_24_25!$P79,0)</f>
        <v>0.50450450450450446</v>
      </c>
      <c r="S79" s="7">
        <v>3.1</v>
      </c>
      <c r="T79" s="7">
        <v>4.3</v>
      </c>
      <c r="U79" s="6">
        <f>IFERROR(database_24_25!$S79/database_24_25!$T79,0)</f>
        <v>0.72093023255813959</v>
      </c>
      <c r="V79" s="7">
        <v>2.4</v>
      </c>
      <c r="W79" s="7">
        <v>7.4</v>
      </c>
      <c r="X79" s="7">
        <v>9.8000000000000007</v>
      </c>
      <c r="Y79" s="7">
        <v>4.8</v>
      </c>
      <c r="Z79" s="7">
        <v>1.4</v>
      </c>
      <c r="AA79" s="7">
        <v>0.8</v>
      </c>
      <c r="AB79" s="7">
        <v>2.2000000000000002</v>
      </c>
      <c r="AC79" s="7">
        <v>2.1</v>
      </c>
      <c r="AD79" s="7">
        <v>16.5</v>
      </c>
    </row>
    <row r="80" spans="1:30" x14ac:dyDescent="0.25">
      <c r="A80" s="7">
        <v>780</v>
      </c>
      <c r="B80" s="7" t="s">
        <v>139</v>
      </c>
      <c r="C80" s="7">
        <v>26</v>
      </c>
      <c r="D80" s="7" t="s">
        <v>88</v>
      </c>
      <c r="E80" s="7" t="s">
        <v>58</v>
      </c>
      <c r="F80" s="7">
        <v>27</v>
      </c>
      <c r="G80" s="7">
        <v>26</v>
      </c>
      <c r="H80" s="7">
        <v>28.8</v>
      </c>
      <c r="I80" s="7">
        <v>6.1</v>
      </c>
      <c r="J80" s="7">
        <v>13</v>
      </c>
      <c r="K80" s="6">
        <f>IFERROR(database_24_25!$I80/database_24_25!$J80,0)</f>
        <v>0.46923076923076923</v>
      </c>
      <c r="L80" s="7">
        <v>2</v>
      </c>
      <c r="M80" s="7">
        <v>5.8</v>
      </c>
      <c r="N80" s="6">
        <f>IFERROR(database_24_25!$L80/database_24_25!$M80,0)</f>
        <v>0.34482758620689657</v>
      </c>
      <c r="O80" s="7">
        <v>4</v>
      </c>
      <c r="P80" s="5">
        <f>database_24_25!$Q80/10</f>
        <v>7.2</v>
      </c>
      <c r="Q80" s="7">
        <v>72</v>
      </c>
      <c r="R80" s="6">
        <f>IFERROR(database_24_25!$O80/database_24_25!$P80,0)</f>
        <v>0.55555555555555558</v>
      </c>
      <c r="S80" s="7">
        <v>2.2999999999999998</v>
      </c>
      <c r="T80" s="7">
        <v>2.7</v>
      </c>
      <c r="U80" s="6">
        <f>IFERROR(database_24_25!$S80/database_24_25!$T80,0)</f>
        <v>0.85185185185185175</v>
      </c>
      <c r="V80" s="7">
        <v>0.9</v>
      </c>
      <c r="W80" s="7">
        <v>5.0999999999999996</v>
      </c>
      <c r="X80" s="7">
        <v>6</v>
      </c>
      <c r="Y80" s="7">
        <v>5</v>
      </c>
      <c r="Z80" s="7">
        <v>1.1000000000000001</v>
      </c>
      <c r="AA80" s="7">
        <v>0.5</v>
      </c>
      <c r="AB80" s="7">
        <v>2.4</v>
      </c>
      <c r="AC80" s="7">
        <v>2.6</v>
      </c>
      <c r="AD80" s="7">
        <v>16.5</v>
      </c>
    </row>
    <row r="81" spans="1:30" x14ac:dyDescent="0.25">
      <c r="A81" s="7">
        <v>810</v>
      </c>
      <c r="B81" s="7" t="s">
        <v>142</v>
      </c>
      <c r="C81" s="7">
        <v>23</v>
      </c>
      <c r="D81" s="7" t="s">
        <v>39</v>
      </c>
      <c r="E81" s="7" t="s">
        <v>32</v>
      </c>
      <c r="F81" s="7">
        <v>34</v>
      </c>
      <c r="G81" s="7">
        <v>34</v>
      </c>
      <c r="H81" s="7">
        <v>29</v>
      </c>
      <c r="I81" s="7">
        <v>5.7</v>
      </c>
      <c r="J81" s="7">
        <v>13.9</v>
      </c>
      <c r="K81" s="6">
        <f>IFERROR(database_24_25!$I81/database_24_25!$J81,0)</f>
        <v>0.41007194244604317</v>
      </c>
      <c r="L81" s="7">
        <v>2.2000000000000002</v>
      </c>
      <c r="M81" s="7">
        <v>7</v>
      </c>
      <c r="N81" s="6">
        <f>IFERROR(database_24_25!$L81/database_24_25!$M81,0)</f>
        <v>0.31428571428571433</v>
      </c>
      <c r="O81" s="7">
        <v>3.5</v>
      </c>
      <c r="P81" s="5">
        <f>database_24_25!$Q81/10</f>
        <v>6.9</v>
      </c>
      <c r="Q81" s="7">
        <v>69</v>
      </c>
      <c r="R81" s="6">
        <f>IFERROR(database_24_25!$O81/database_24_25!$P81,0)</f>
        <v>0.50724637681159412</v>
      </c>
      <c r="S81" s="7">
        <v>2.9</v>
      </c>
      <c r="T81" s="7">
        <v>3.1</v>
      </c>
      <c r="U81" s="6">
        <f>IFERROR(database_24_25!$S81/database_24_25!$T81,0)</f>
        <v>0.93548387096774188</v>
      </c>
      <c r="V81" s="7">
        <v>0.7</v>
      </c>
      <c r="W81" s="7">
        <v>3.4</v>
      </c>
      <c r="X81" s="7">
        <v>4.0999999999999996</v>
      </c>
      <c r="Y81" s="7">
        <v>3.7</v>
      </c>
      <c r="Z81" s="7">
        <v>1.5</v>
      </c>
      <c r="AA81" s="7">
        <v>1</v>
      </c>
      <c r="AB81" s="7">
        <v>2.9</v>
      </c>
      <c r="AC81" s="7">
        <v>2.7</v>
      </c>
      <c r="AD81" s="7">
        <v>16.399999999999999</v>
      </c>
    </row>
    <row r="82" spans="1:30" x14ac:dyDescent="0.25">
      <c r="A82" s="5">
        <v>800</v>
      </c>
      <c r="B82" s="5" t="s">
        <v>141</v>
      </c>
      <c r="C82" s="5">
        <v>22</v>
      </c>
      <c r="D82" s="5" t="s">
        <v>31</v>
      </c>
      <c r="E82" s="5" t="s">
        <v>35</v>
      </c>
      <c r="F82" s="5">
        <v>10</v>
      </c>
      <c r="G82" s="5">
        <v>10</v>
      </c>
      <c r="H82" s="5">
        <v>26.5</v>
      </c>
      <c r="I82" s="5">
        <v>5.6</v>
      </c>
      <c r="J82" s="5">
        <v>11.1</v>
      </c>
      <c r="K82" s="6">
        <f>IFERROR(database_24_25!$I82/database_24_25!$J82,0)</f>
        <v>0.50450450450450446</v>
      </c>
      <c r="L82" s="5">
        <v>1.4</v>
      </c>
      <c r="M82" s="5">
        <v>3.7</v>
      </c>
      <c r="N82" s="6">
        <f>IFERROR(database_24_25!$L82/database_24_25!$M82,0)</f>
        <v>0.37837837837837834</v>
      </c>
      <c r="O82" s="5">
        <v>4.2</v>
      </c>
      <c r="P82" s="5">
        <f>database_24_25!$Q82/10</f>
        <v>7.4</v>
      </c>
      <c r="Q82" s="5">
        <v>74</v>
      </c>
      <c r="R82" s="6">
        <f>IFERROR(database_24_25!$O82/database_24_25!$P82,0)</f>
        <v>0.56756756756756754</v>
      </c>
      <c r="S82" s="5">
        <v>3.8</v>
      </c>
      <c r="T82" s="5">
        <v>4.9000000000000004</v>
      </c>
      <c r="U82" s="6">
        <f>IFERROR(database_24_25!$S82/database_24_25!$T82,0)</f>
        <v>0.77551020408163251</v>
      </c>
      <c r="V82" s="5">
        <v>1.6</v>
      </c>
      <c r="W82" s="5">
        <v>7.1</v>
      </c>
      <c r="X82" s="5">
        <v>8.6999999999999993</v>
      </c>
      <c r="Y82" s="5">
        <v>2</v>
      </c>
      <c r="Z82" s="5">
        <v>0.8</v>
      </c>
      <c r="AA82" s="5">
        <v>2.6</v>
      </c>
      <c r="AB82" s="5">
        <v>2.2999999999999998</v>
      </c>
      <c r="AC82" s="5">
        <v>1.8</v>
      </c>
      <c r="AD82" s="5">
        <v>16.399999999999999</v>
      </c>
    </row>
    <row r="83" spans="1:30" x14ac:dyDescent="0.25">
      <c r="A83" s="7">
        <v>820</v>
      </c>
      <c r="B83" s="7" t="s">
        <v>143</v>
      </c>
      <c r="C83" s="7">
        <v>29</v>
      </c>
      <c r="D83" s="7" t="s">
        <v>86</v>
      </c>
      <c r="E83" s="7" t="s">
        <v>65</v>
      </c>
      <c r="F83" s="7">
        <v>29</v>
      </c>
      <c r="G83" s="7">
        <v>29</v>
      </c>
      <c r="H83" s="7">
        <v>29</v>
      </c>
      <c r="I83" s="7">
        <v>5.8</v>
      </c>
      <c r="J83" s="7">
        <v>12.8</v>
      </c>
      <c r="K83" s="6">
        <f>IFERROR(database_24_25!$I83/database_24_25!$J83,0)</f>
        <v>0.45312499999999994</v>
      </c>
      <c r="L83" s="7">
        <v>2.1</v>
      </c>
      <c r="M83" s="7">
        <v>5.3</v>
      </c>
      <c r="N83" s="6">
        <f>IFERROR(database_24_25!$L83/database_24_25!$M83,0)</f>
        <v>0.39622641509433965</v>
      </c>
      <c r="O83" s="7">
        <v>3.6</v>
      </c>
      <c r="P83" s="5">
        <f>database_24_25!$Q83/10</f>
        <v>7.5</v>
      </c>
      <c r="Q83" s="7">
        <v>75</v>
      </c>
      <c r="R83" s="6">
        <f>IFERROR(database_24_25!$O83/database_24_25!$P83,0)</f>
        <v>0.48000000000000004</v>
      </c>
      <c r="S83" s="7">
        <v>2.7</v>
      </c>
      <c r="T83" s="7">
        <v>3.4</v>
      </c>
      <c r="U83" s="6">
        <f>IFERROR(database_24_25!$S83/database_24_25!$T83,0)</f>
        <v>0.79411764705882359</v>
      </c>
      <c r="V83" s="7">
        <v>1.6</v>
      </c>
      <c r="W83" s="7">
        <v>2.9</v>
      </c>
      <c r="X83" s="7">
        <v>4.4000000000000004</v>
      </c>
      <c r="Y83" s="7">
        <v>2.4</v>
      </c>
      <c r="Z83" s="7">
        <v>0.8</v>
      </c>
      <c r="AA83" s="7">
        <v>0.9</v>
      </c>
      <c r="AB83" s="7">
        <v>1.2</v>
      </c>
      <c r="AC83" s="7">
        <v>1.7</v>
      </c>
      <c r="AD83" s="7">
        <v>16.399999999999999</v>
      </c>
    </row>
    <row r="84" spans="1:30" x14ac:dyDescent="0.25">
      <c r="A84" s="5">
        <v>830</v>
      </c>
      <c r="B84" s="5" t="s">
        <v>144</v>
      </c>
      <c r="C84" s="5">
        <v>34</v>
      </c>
      <c r="D84" s="5" t="s">
        <v>53</v>
      </c>
      <c r="E84" s="5" t="s">
        <v>27</v>
      </c>
      <c r="F84" s="5">
        <v>22</v>
      </c>
      <c r="G84" s="5">
        <v>22</v>
      </c>
      <c r="H84" s="5">
        <v>31.9</v>
      </c>
      <c r="I84" s="5">
        <v>5.9</v>
      </c>
      <c r="J84" s="5">
        <v>13.9</v>
      </c>
      <c r="K84" s="6">
        <f>IFERROR(database_24_25!$I84/database_24_25!$J84,0)</f>
        <v>0.42446043165467628</v>
      </c>
      <c r="L84" s="5">
        <v>2.1</v>
      </c>
      <c r="M84" s="5">
        <v>6.2</v>
      </c>
      <c r="N84" s="6">
        <f>IFERROR(database_24_25!$L84/database_24_25!$M84,0)</f>
        <v>0.33870967741935487</v>
      </c>
      <c r="O84" s="5">
        <v>3.8</v>
      </c>
      <c r="P84" s="5">
        <f>database_24_25!$Q84/10</f>
        <v>7.7</v>
      </c>
      <c r="Q84" s="5">
        <v>77</v>
      </c>
      <c r="R84" s="6">
        <f>IFERROR(database_24_25!$O84/database_24_25!$P84,0)</f>
        <v>0.49350649350649345</v>
      </c>
      <c r="S84" s="5">
        <v>2.5</v>
      </c>
      <c r="T84" s="5">
        <v>3</v>
      </c>
      <c r="U84" s="6">
        <f>IFERROR(database_24_25!$S84/database_24_25!$T84,0)</f>
        <v>0.83333333333333337</v>
      </c>
      <c r="V84" s="5">
        <v>0.8</v>
      </c>
      <c r="W84" s="5">
        <v>4.7</v>
      </c>
      <c r="X84" s="5">
        <v>5.5</v>
      </c>
      <c r="Y84" s="5">
        <v>4.5</v>
      </c>
      <c r="Z84" s="5">
        <v>1.8</v>
      </c>
      <c r="AA84" s="5">
        <v>0.5</v>
      </c>
      <c r="AB84" s="5">
        <v>2.7</v>
      </c>
      <c r="AC84" s="5">
        <v>2.5</v>
      </c>
      <c r="AD84" s="5">
        <v>16.3</v>
      </c>
    </row>
    <row r="85" spans="1:30" x14ac:dyDescent="0.25">
      <c r="A85" s="7">
        <v>840</v>
      </c>
      <c r="B85" s="7" t="s">
        <v>145</v>
      </c>
      <c r="C85" s="7">
        <v>31</v>
      </c>
      <c r="D85" s="7" t="s">
        <v>146</v>
      </c>
      <c r="E85" s="7" t="s">
        <v>32</v>
      </c>
      <c r="F85" s="7">
        <v>31</v>
      </c>
      <c r="G85" s="7">
        <v>31</v>
      </c>
      <c r="H85" s="7">
        <v>32</v>
      </c>
      <c r="I85" s="7">
        <v>5.6</v>
      </c>
      <c r="J85" s="7">
        <v>13.2</v>
      </c>
      <c r="K85" s="6">
        <f>IFERROR(database_24_25!$I85/database_24_25!$J85,0)</f>
        <v>0.42424242424242425</v>
      </c>
      <c r="L85" s="7">
        <v>2.2000000000000002</v>
      </c>
      <c r="M85" s="7">
        <v>6.1</v>
      </c>
      <c r="N85" s="6">
        <f>IFERROR(database_24_25!$L85/database_24_25!$M85,0)</f>
        <v>0.3606557377049181</v>
      </c>
      <c r="O85" s="7">
        <v>3.4</v>
      </c>
      <c r="P85" s="5">
        <f>database_24_25!$Q85/10</f>
        <v>7.1</v>
      </c>
      <c r="Q85" s="7">
        <v>71</v>
      </c>
      <c r="R85" s="6">
        <f>IFERROR(database_24_25!$O85/database_24_25!$P85,0)</f>
        <v>0.47887323943661975</v>
      </c>
      <c r="S85" s="7">
        <v>2.8</v>
      </c>
      <c r="T85" s="7">
        <v>3.2</v>
      </c>
      <c r="U85" s="6">
        <f>IFERROR(database_24_25!$S85/database_24_25!$T85,0)</f>
        <v>0.87499999999999989</v>
      </c>
      <c r="V85" s="7">
        <v>0.3</v>
      </c>
      <c r="W85" s="7">
        <v>2.5</v>
      </c>
      <c r="X85" s="7">
        <v>2.8</v>
      </c>
      <c r="Y85" s="7">
        <v>6</v>
      </c>
      <c r="Z85" s="7">
        <v>1</v>
      </c>
      <c r="AA85" s="7">
        <v>0.2</v>
      </c>
      <c r="AB85" s="7">
        <v>2.5</v>
      </c>
      <c r="AC85" s="7">
        <v>2.5</v>
      </c>
      <c r="AD85" s="7">
        <v>16.2</v>
      </c>
    </row>
    <row r="86" spans="1:30" x14ac:dyDescent="0.25">
      <c r="A86" s="5">
        <v>850</v>
      </c>
      <c r="B86" s="5" t="s">
        <v>147</v>
      </c>
      <c r="C86" s="5">
        <v>28</v>
      </c>
      <c r="D86" s="5" t="s">
        <v>73</v>
      </c>
      <c r="E86" s="5" t="s">
        <v>58</v>
      </c>
      <c r="F86" s="5">
        <v>34</v>
      </c>
      <c r="G86" s="5">
        <v>8</v>
      </c>
      <c r="H86" s="5">
        <v>28.1</v>
      </c>
      <c r="I86" s="5">
        <v>5.6</v>
      </c>
      <c r="J86" s="5">
        <v>13.4</v>
      </c>
      <c r="K86" s="6">
        <f>IFERROR(database_24_25!$I86/database_24_25!$J86,0)</f>
        <v>0.41791044776119401</v>
      </c>
      <c r="L86" s="5">
        <v>3.7</v>
      </c>
      <c r="M86" s="5">
        <v>9.1999999999999993</v>
      </c>
      <c r="N86" s="6">
        <f>IFERROR(database_24_25!$L86/database_24_25!$M86,0)</f>
        <v>0.40217391304347833</v>
      </c>
      <c r="O86" s="5">
        <v>1.9</v>
      </c>
      <c r="P86" s="5">
        <f>database_24_25!$Q86/10</f>
        <v>4.0999999999999996</v>
      </c>
      <c r="Q86" s="5">
        <v>41</v>
      </c>
      <c r="R86" s="6">
        <f>IFERROR(database_24_25!$O86/database_24_25!$P86,0)</f>
        <v>0.46341463414634149</v>
      </c>
      <c r="S86" s="5">
        <v>1.1000000000000001</v>
      </c>
      <c r="T86" s="5">
        <v>1.5</v>
      </c>
      <c r="U86" s="6">
        <f>IFERROR(database_24_25!$S86/database_24_25!$T86,0)</f>
        <v>0.73333333333333339</v>
      </c>
      <c r="V86" s="5">
        <v>0.6</v>
      </c>
      <c r="W86" s="5">
        <v>2.5</v>
      </c>
      <c r="X86" s="5">
        <v>3.1</v>
      </c>
      <c r="Y86" s="5">
        <v>1.9</v>
      </c>
      <c r="Z86" s="5">
        <v>0.8</v>
      </c>
      <c r="AA86" s="5">
        <v>0.1</v>
      </c>
      <c r="AB86" s="5">
        <v>1.1000000000000001</v>
      </c>
      <c r="AC86" s="5">
        <v>1.3</v>
      </c>
      <c r="AD86" s="5">
        <v>16.100000000000001</v>
      </c>
    </row>
    <row r="87" spans="1:30" x14ac:dyDescent="0.25">
      <c r="A87" s="7">
        <v>860</v>
      </c>
      <c r="B87" s="7" t="s">
        <v>148</v>
      </c>
      <c r="C87" s="7">
        <v>21</v>
      </c>
      <c r="D87" s="7" t="s">
        <v>114</v>
      </c>
      <c r="E87" s="7" t="s">
        <v>32</v>
      </c>
      <c r="F87" s="7">
        <v>27</v>
      </c>
      <c r="G87" s="7">
        <v>27</v>
      </c>
      <c r="H87" s="7">
        <v>31.7</v>
      </c>
      <c r="I87" s="7">
        <v>5.3</v>
      </c>
      <c r="J87" s="7">
        <v>13.5</v>
      </c>
      <c r="K87" s="6">
        <f>IFERROR(database_24_25!$I87/database_24_25!$J87,0)</f>
        <v>0.3925925925925926</v>
      </c>
      <c r="L87" s="7">
        <v>2.7</v>
      </c>
      <c r="M87" s="7">
        <v>7.6</v>
      </c>
      <c r="N87" s="6">
        <f>IFERROR(database_24_25!$L87/database_24_25!$M87,0)</f>
        <v>0.35526315789473689</v>
      </c>
      <c r="O87" s="7">
        <v>2.7</v>
      </c>
      <c r="P87" s="5">
        <f>database_24_25!$Q87/10</f>
        <v>5.9</v>
      </c>
      <c r="Q87" s="7">
        <v>59</v>
      </c>
      <c r="R87" s="6">
        <f>IFERROR(database_24_25!$O87/database_24_25!$P87,0)</f>
        <v>0.4576271186440678</v>
      </c>
      <c r="S87" s="7">
        <v>2.5</v>
      </c>
      <c r="T87" s="7">
        <v>3.1</v>
      </c>
      <c r="U87" s="6">
        <f>IFERROR(database_24_25!$S87/database_24_25!$T87,0)</f>
        <v>0.80645161290322576</v>
      </c>
      <c r="V87" s="7">
        <v>0.4</v>
      </c>
      <c r="W87" s="7">
        <v>2.8</v>
      </c>
      <c r="X87" s="7">
        <v>3.3</v>
      </c>
      <c r="Y87" s="7">
        <v>5.7</v>
      </c>
      <c r="Z87" s="7">
        <v>0.7</v>
      </c>
      <c r="AA87" s="7">
        <v>0.2</v>
      </c>
      <c r="AB87" s="7">
        <v>3.3</v>
      </c>
      <c r="AC87" s="7">
        <v>1.7</v>
      </c>
      <c r="AD87" s="7">
        <v>15.8</v>
      </c>
    </row>
    <row r="88" spans="1:30" x14ac:dyDescent="0.25">
      <c r="A88" s="5">
        <v>880</v>
      </c>
      <c r="B88" s="5" t="s">
        <v>150</v>
      </c>
      <c r="C88" s="5">
        <v>25</v>
      </c>
      <c r="D88" s="5" t="s">
        <v>77</v>
      </c>
      <c r="E88" s="5" t="s">
        <v>32</v>
      </c>
      <c r="F88" s="5">
        <v>5</v>
      </c>
      <c r="G88" s="5">
        <v>5</v>
      </c>
      <c r="H88" s="5">
        <v>26.6</v>
      </c>
      <c r="I88" s="5">
        <v>5.4</v>
      </c>
      <c r="J88" s="5">
        <v>15</v>
      </c>
      <c r="K88" s="6">
        <f>IFERROR(database_24_25!$I88/database_24_25!$J88,0)</f>
        <v>0.36000000000000004</v>
      </c>
      <c r="L88" s="5">
        <v>2</v>
      </c>
      <c r="M88" s="5">
        <v>6.4</v>
      </c>
      <c r="N88" s="6">
        <f>IFERROR(database_24_25!$L88/database_24_25!$M88,0)</f>
        <v>0.3125</v>
      </c>
      <c r="O88" s="5">
        <v>3.4</v>
      </c>
      <c r="P88" s="5">
        <f>database_24_25!$Q88/10</f>
        <v>8.6</v>
      </c>
      <c r="Q88" s="5">
        <v>86</v>
      </c>
      <c r="R88" s="6">
        <f>IFERROR(database_24_25!$O88/database_24_25!$P88,0)</f>
        <v>0.39534883720930231</v>
      </c>
      <c r="S88" s="5">
        <v>2.8</v>
      </c>
      <c r="T88" s="5">
        <v>3</v>
      </c>
      <c r="U88" s="6">
        <f>IFERROR(database_24_25!$S88/database_24_25!$T88,0)</f>
        <v>0.93333333333333324</v>
      </c>
      <c r="V88" s="5">
        <v>0.2</v>
      </c>
      <c r="W88" s="5">
        <v>2.6</v>
      </c>
      <c r="X88" s="5">
        <v>2.8</v>
      </c>
      <c r="Y88" s="5">
        <v>7.6</v>
      </c>
      <c r="Z88" s="5">
        <v>0.4</v>
      </c>
      <c r="AA88" s="5">
        <v>0</v>
      </c>
      <c r="AB88" s="5">
        <v>1.6</v>
      </c>
      <c r="AC88" s="5">
        <v>2.2000000000000002</v>
      </c>
      <c r="AD88" s="5">
        <v>15.6</v>
      </c>
    </row>
    <row r="89" spans="1:30" x14ac:dyDescent="0.25">
      <c r="A89" s="7">
        <v>870</v>
      </c>
      <c r="B89" s="7" t="s">
        <v>149</v>
      </c>
      <c r="C89" s="7">
        <v>27</v>
      </c>
      <c r="D89" s="7" t="s">
        <v>41</v>
      </c>
      <c r="E89" s="7" t="s">
        <v>32</v>
      </c>
      <c r="F89" s="7">
        <v>35</v>
      </c>
      <c r="G89" s="7">
        <v>0</v>
      </c>
      <c r="H89" s="7">
        <v>28.6</v>
      </c>
      <c r="I89" s="7">
        <v>5.4</v>
      </c>
      <c r="J89" s="7">
        <v>11.3</v>
      </c>
      <c r="K89" s="6">
        <f>IFERROR(database_24_25!$I89/database_24_25!$J89,0)</f>
        <v>0.47787610619469029</v>
      </c>
      <c r="L89" s="7">
        <v>3.7</v>
      </c>
      <c r="M89" s="7">
        <v>8.5</v>
      </c>
      <c r="N89" s="6">
        <f>IFERROR(database_24_25!$L89/database_24_25!$M89,0)</f>
        <v>0.43529411764705883</v>
      </c>
      <c r="O89" s="7">
        <v>1.7</v>
      </c>
      <c r="P89" s="5">
        <f>database_24_25!$Q89/10</f>
        <v>2.7</v>
      </c>
      <c r="Q89" s="7">
        <v>27</v>
      </c>
      <c r="R89" s="6">
        <f>IFERROR(database_24_25!$O89/database_24_25!$P89,0)</f>
        <v>0.62962962962962954</v>
      </c>
      <c r="S89" s="7">
        <v>1.2</v>
      </c>
      <c r="T89" s="7">
        <v>1.4</v>
      </c>
      <c r="U89" s="6">
        <f>IFERROR(database_24_25!$S89/database_24_25!$T89,0)</f>
        <v>0.85714285714285721</v>
      </c>
      <c r="V89" s="7">
        <v>1.4</v>
      </c>
      <c r="W89" s="7">
        <v>2.4</v>
      </c>
      <c r="X89" s="7">
        <v>3.8</v>
      </c>
      <c r="Y89" s="7">
        <v>3.4</v>
      </c>
      <c r="Z89" s="7">
        <v>0.9</v>
      </c>
      <c r="AA89" s="7">
        <v>0.1</v>
      </c>
      <c r="AB89" s="7">
        <v>1</v>
      </c>
      <c r="AC89" s="7">
        <v>1.7</v>
      </c>
      <c r="AD89" s="7">
        <v>15.6</v>
      </c>
    </row>
    <row r="90" spans="1:30" x14ac:dyDescent="0.25">
      <c r="A90" s="7">
        <v>900</v>
      </c>
      <c r="B90" s="7" t="s">
        <v>152</v>
      </c>
      <c r="C90" s="7">
        <v>24</v>
      </c>
      <c r="D90" s="7" t="s">
        <v>49</v>
      </c>
      <c r="E90" s="7" t="s">
        <v>58</v>
      </c>
      <c r="F90" s="7">
        <v>19</v>
      </c>
      <c r="G90" s="7">
        <v>8</v>
      </c>
      <c r="H90" s="7">
        <v>28.1</v>
      </c>
      <c r="I90" s="7">
        <v>5.8</v>
      </c>
      <c r="J90" s="7">
        <v>12.9</v>
      </c>
      <c r="K90" s="6">
        <f>IFERROR(database_24_25!$I90/database_24_25!$J90,0)</f>
        <v>0.44961240310077516</v>
      </c>
      <c r="L90" s="7">
        <v>2.1</v>
      </c>
      <c r="M90" s="7">
        <v>5.6</v>
      </c>
      <c r="N90" s="6">
        <f>IFERROR(database_24_25!$L90/database_24_25!$M90,0)</f>
        <v>0.37500000000000006</v>
      </c>
      <c r="O90" s="7">
        <v>3.7</v>
      </c>
      <c r="P90" s="5">
        <f>database_24_25!$Q90/10</f>
        <v>7.3</v>
      </c>
      <c r="Q90" s="7">
        <v>73</v>
      </c>
      <c r="R90" s="6">
        <f>IFERROR(database_24_25!$O90/database_24_25!$P90,0)</f>
        <v>0.50684931506849318</v>
      </c>
      <c r="S90" s="7">
        <v>1.8</v>
      </c>
      <c r="T90" s="7">
        <v>2.4</v>
      </c>
      <c r="U90" s="6">
        <f>IFERROR(database_24_25!$S90/database_24_25!$T90,0)</f>
        <v>0.75</v>
      </c>
      <c r="V90" s="7">
        <v>0.7</v>
      </c>
      <c r="W90" s="7">
        <v>2.5</v>
      </c>
      <c r="X90" s="7">
        <v>3.2</v>
      </c>
      <c r="Y90" s="7">
        <v>3</v>
      </c>
      <c r="Z90" s="7">
        <v>1.2</v>
      </c>
      <c r="AA90" s="7">
        <v>0.4</v>
      </c>
      <c r="AB90" s="7">
        <v>1.4</v>
      </c>
      <c r="AC90" s="7">
        <v>1.8</v>
      </c>
      <c r="AD90" s="7">
        <v>15.5</v>
      </c>
    </row>
    <row r="91" spans="1:30" x14ac:dyDescent="0.25">
      <c r="A91" s="5">
        <v>890</v>
      </c>
      <c r="B91" s="5" t="s">
        <v>151</v>
      </c>
      <c r="C91" s="5">
        <v>28</v>
      </c>
      <c r="D91" s="5" t="s">
        <v>81</v>
      </c>
      <c r="E91" s="5" t="s">
        <v>32</v>
      </c>
      <c r="F91" s="5">
        <v>18</v>
      </c>
      <c r="G91" s="5">
        <v>18</v>
      </c>
      <c r="H91" s="5">
        <v>33.6</v>
      </c>
      <c r="I91" s="5">
        <v>5.8</v>
      </c>
      <c r="J91" s="5">
        <v>15.8</v>
      </c>
      <c r="K91" s="6">
        <f>IFERROR(database_24_25!$I91/database_24_25!$J91,0)</f>
        <v>0.36708860759493667</v>
      </c>
      <c r="L91" s="5">
        <v>1.3</v>
      </c>
      <c r="M91" s="5">
        <v>5.0999999999999996</v>
      </c>
      <c r="N91" s="6">
        <f>IFERROR(database_24_25!$L91/database_24_25!$M91,0)</f>
        <v>0.25490196078431376</v>
      </c>
      <c r="O91" s="5">
        <v>4.5</v>
      </c>
      <c r="P91" s="5">
        <f>database_24_25!$Q91/10</f>
        <v>10.7</v>
      </c>
      <c r="Q91" s="5">
        <v>107</v>
      </c>
      <c r="R91" s="6">
        <f>IFERROR(database_24_25!$O91/database_24_25!$P91,0)</f>
        <v>0.42056074766355145</v>
      </c>
      <c r="S91" s="5">
        <v>2.7</v>
      </c>
      <c r="T91" s="5">
        <v>3.2</v>
      </c>
      <c r="U91" s="6">
        <f>IFERROR(database_24_25!$S91/database_24_25!$T91,0)</f>
        <v>0.84375</v>
      </c>
      <c r="V91" s="5">
        <v>0.4</v>
      </c>
      <c r="W91" s="5">
        <v>5.9</v>
      </c>
      <c r="X91" s="5">
        <v>6.4</v>
      </c>
      <c r="Y91" s="5">
        <v>7.7</v>
      </c>
      <c r="Z91" s="5">
        <v>2.4</v>
      </c>
      <c r="AA91" s="5">
        <v>0.5</v>
      </c>
      <c r="AB91" s="5">
        <v>3.9</v>
      </c>
      <c r="AC91" s="5">
        <v>2.2999999999999998</v>
      </c>
      <c r="AD91" s="5">
        <v>15.5</v>
      </c>
    </row>
    <row r="92" spans="1:30" x14ac:dyDescent="0.25">
      <c r="A92" s="5">
        <v>910</v>
      </c>
      <c r="B92" s="5" t="s">
        <v>153</v>
      </c>
      <c r="C92" s="5">
        <v>29</v>
      </c>
      <c r="D92" s="5" t="s">
        <v>77</v>
      </c>
      <c r="E92" s="5" t="s">
        <v>35</v>
      </c>
      <c r="F92" s="5">
        <v>30</v>
      </c>
      <c r="G92" s="5">
        <v>29</v>
      </c>
      <c r="H92" s="5">
        <v>32</v>
      </c>
      <c r="I92" s="5">
        <v>6.6</v>
      </c>
      <c r="J92" s="5">
        <v>10.9</v>
      </c>
      <c r="K92" s="6">
        <f>IFERROR(database_24_25!$I92/database_24_25!$J92,0)</f>
        <v>0.60550458715596323</v>
      </c>
      <c r="L92" s="5">
        <v>0</v>
      </c>
      <c r="M92" s="5">
        <v>0.1</v>
      </c>
      <c r="N92" s="6">
        <f>IFERROR(database_24_25!$L92/database_24_25!$M92,0)</f>
        <v>0</v>
      </c>
      <c r="O92" s="5">
        <v>6.6</v>
      </c>
      <c r="P92" s="5">
        <f>database_24_25!$Q92/10</f>
        <v>10.8</v>
      </c>
      <c r="Q92" s="5">
        <v>108</v>
      </c>
      <c r="R92" s="6">
        <f>IFERROR(database_24_25!$O92/database_24_25!$P92,0)</f>
        <v>0.61111111111111105</v>
      </c>
      <c r="S92" s="5">
        <v>2.2000000000000002</v>
      </c>
      <c r="T92" s="5">
        <v>3.2</v>
      </c>
      <c r="U92" s="6">
        <f>IFERROR(database_24_25!$S92/database_24_25!$T92,0)</f>
        <v>0.6875</v>
      </c>
      <c r="V92" s="5">
        <v>3.8</v>
      </c>
      <c r="W92" s="5">
        <v>6.9</v>
      </c>
      <c r="X92" s="5">
        <v>10.7</v>
      </c>
      <c r="Y92" s="5">
        <v>2.6</v>
      </c>
      <c r="Z92" s="5">
        <v>1.2</v>
      </c>
      <c r="AA92" s="5">
        <v>1.3</v>
      </c>
      <c r="AB92" s="5">
        <v>2.1</v>
      </c>
      <c r="AC92" s="5">
        <v>3.5</v>
      </c>
      <c r="AD92" s="5">
        <v>15.4</v>
      </c>
    </row>
    <row r="93" spans="1:30" x14ac:dyDescent="0.25">
      <c r="A93" s="7">
        <v>920</v>
      </c>
      <c r="B93" s="7" t="s">
        <v>154</v>
      </c>
      <c r="C93" s="7">
        <v>20</v>
      </c>
      <c r="D93" s="7" t="s">
        <v>53</v>
      </c>
      <c r="E93" s="7" t="s">
        <v>58</v>
      </c>
      <c r="F93" s="7">
        <v>23</v>
      </c>
      <c r="G93" s="7">
        <v>8</v>
      </c>
      <c r="H93" s="7">
        <v>25.7</v>
      </c>
      <c r="I93" s="7">
        <v>5.5</v>
      </c>
      <c r="J93" s="7">
        <v>11.9</v>
      </c>
      <c r="K93" s="6">
        <f>IFERROR(database_24_25!$I93/database_24_25!$J93,0)</f>
        <v>0.4621848739495798</v>
      </c>
      <c r="L93" s="7">
        <v>2.2000000000000002</v>
      </c>
      <c r="M93" s="7">
        <v>5.8</v>
      </c>
      <c r="N93" s="6">
        <f>IFERROR(database_24_25!$L93/database_24_25!$M93,0)</f>
        <v>0.37931034482758624</v>
      </c>
      <c r="O93" s="7">
        <v>3.3</v>
      </c>
      <c r="P93" s="5">
        <f>database_24_25!$Q93/10</f>
        <v>6.1</v>
      </c>
      <c r="Q93" s="7">
        <v>61</v>
      </c>
      <c r="R93" s="6">
        <f>IFERROR(database_24_25!$O93/database_24_25!$P93,0)</f>
        <v>0.54098360655737709</v>
      </c>
      <c r="S93" s="7">
        <v>2.1</v>
      </c>
      <c r="T93" s="7">
        <v>2.4</v>
      </c>
      <c r="U93" s="6">
        <f>IFERROR(database_24_25!$S93/database_24_25!$T93,0)</f>
        <v>0.87500000000000011</v>
      </c>
      <c r="V93" s="7">
        <v>0.6</v>
      </c>
      <c r="W93" s="7">
        <v>1.9</v>
      </c>
      <c r="X93" s="7">
        <v>2.4</v>
      </c>
      <c r="Y93" s="7">
        <v>2.6</v>
      </c>
      <c r="Z93" s="7">
        <v>0.7</v>
      </c>
      <c r="AA93" s="7">
        <v>0</v>
      </c>
      <c r="AB93" s="7">
        <v>1.6</v>
      </c>
      <c r="AC93" s="7">
        <v>1.6</v>
      </c>
      <c r="AD93" s="7">
        <v>15.3</v>
      </c>
    </row>
    <row r="94" spans="1:30" x14ac:dyDescent="0.25">
      <c r="A94" s="5">
        <v>930</v>
      </c>
      <c r="B94" s="5" t="s">
        <v>155</v>
      </c>
      <c r="C94" s="5">
        <v>28</v>
      </c>
      <c r="D94" s="5" t="s">
        <v>108</v>
      </c>
      <c r="E94" s="5" t="s">
        <v>35</v>
      </c>
      <c r="F94" s="5">
        <v>33</v>
      </c>
      <c r="G94" s="5">
        <v>33</v>
      </c>
      <c r="H94" s="5">
        <v>31.4</v>
      </c>
      <c r="I94" s="5">
        <v>5.5</v>
      </c>
      <c r="J94" s="5">
        <v>11.3</v>
      </c>
      <c r="K94" s="6">
        <f>IFERROR(database_24_25!$I94/database_24_25!$J94,0)</f>
        <v>0.48672566371681414</v>
      </c>
      <c r="L94" s="5">
        <v>1.9</v>
      </c>
      <c r="M94" s="5">
        <v>4.9000000000000004</v>
      </c>
      <c r="N94" s="6">
        <f>IFERROR(database_24_25!$L94/database_24_25!$M94,0)</f>
        <v>0.38775510204081626</v>
      </c>
      <c r="O94" s="5">
        <v>3.6</v>
      </c>
      <c r="P94" s="5">
        <f>database_24_25!$Q94/10</f>
        <v>6.3</v>
      </c>
      <c r="Q94" s="5">
        <v>63</v>
      </c>
      <c r="R94" s="6">
        <f>IFERROR(database_24_25!$O94/database_24_25!$P94,0)</f>
        <v>0.57142857142857151</v>
      </c>
      <c r="S94" s="5">
        <v>2.2000000000000002</v>
      </c>
      <c r="T94" s="5">
        <v>3</v>
      </c>
      <c r="U94" s="6">
        <f>IFERROR(database_24_25!$S94/database_24_25!$T94,0)</f>
        <v>0.73333333333333339</v>
      </c>
      <c r="V94" s="5">
        <v>1.4</v>
      </c>
      <c r="W94" s="5">
        <v>5.7</v>
      </c>
      <c r="X94" s="5">
        <v>7.1</v>
      </c>
      <c r="Y94" s="5">
        <v>1.6</v>
      </c>
      <c r="Z94" s="5">
        <v>0.8</v>
      </c>
      <c r="AA94" s="5">
        <v>2</v>
      </c>
      <c r="AB94" s="5">
        <v>2.2000000000000002</v>
      </c>
      <c r="AC94" s="5">
        <v>2.9</v>
      </c>
      <c r="AD94" s="5">
        <v>15.1</v>
      </c>
    </row>
    <row r="95" spans="1:30" x14ac:dyDescent="0.25">
      <c r="A95" s="7">
        <v>940</v>
      </c>
      <c r="B95" s="7" t="s">
        <v>156</v>
      </c>
      <c r="C95" s="7">
        <v>30</v>
      </c>
      <c r="D95" s="7" t="s">
        <v>124</v>
      </c>
      <c r="E95" s="7" t="s">
        <v>27</v>
      </c>
      <c r="F95" s="7">
        <v>29</v>
      </c>
      <c r="G95" s="7">
        <v>29</v>
      </c>
      <c r="H95" s="7">
        <v>32.700000000000003</v>
      </c>
      <c r="I95" s="7">
        <v>4.9000000000000004</v>
      </c>
      <c r="J95" s="7">
        <v>12.7</v>
      </c>
      <c r="K95" s="6">
        <f>IFERROR(database_24_25!$I95/database_24_25!$J95,0)</f>
        <v>0.38582677165354334</v>
      </c>
      <c r="L95" s="7">
        <v>2.4</v>
      </c>
      <c r="M95" s="7">
        <v>6.4</v>
      </c>
      <c r="N95" s="6">
        <f>IFERROR(database_24_25!$L95/database_24_25!$M95,0)</f>
        <v>0.37499999999999994</v>
      </c>
      <c r="O95" s="7">
        <v>2.4</v>
      </c>
      <c r="P95" s="5">
        <f>database_24_25!$Q95/10</f>
        <v>6.3</v>
      </c>
      <c r="Q95" s="7">
        <v>63</v>
      </c>
      <c r="R95" s="6">
        <f>IFERROR(database_24_25!$O95/database_24_25!$P95,0)</f>
        <v>0.38095238095238093</v>
      </c>
      <c r="S95" s="7">
        <v>2.8</v>
      </c>
      <c r="T95" s="7">
        <v>3.4</v>
      </c>
      <c r="U95" s="6">
        <f>IFERROR(database_24_25!$S95/database_24_25!$T95,0)</f>
        <v>0.82352941176470584</v>
      </c>
      <c r="V95" s="7">
        <v>0.5</v>
      </c>
      <c r="W95" s="7">
        <v>3.1</v>
      </c>
      <c r="X95" s="7">
        <v>3.6</v>
      </c>
      <c r="Y95" s="7">
        <v>2.2999999999999998</v>
      </c>
      <c r="Z95" s="7">
        <v>0.9</v>
      </c>
      <c r="AA95" s="7">
        <v>1</v>
      </c>
      <c r="AB95" s="7">
        <v>1.4</v>
      </c>
      <c r="AC95" s="7">
        <v>2.2999999999999998</v>
      </c>
      <c r="AD95" s="7">
        <v>15</v>
      </c>
    </row>
    <row r="96" spans="1:30" x14ac:dyDescent="0.25">
      <c r="A96" s="5">
        <v>950</v>
      </c>
      <c r="B96" s="5" t="s">
        <v>157</v>
      </c>
      <c r="C96" s="5">
        <v>27</v>
      </c>
      <c r="D96" s="5" t="s">
        <v>75</v>
      </c>
      <c r="E96" s="5" t="s">
        <v>35</v>
      </c>
      <c r="F96" s="5">
        <v>34</v>
      </c>
      <c r="G96" s="5">
        <v>34</v>
      </c>
      <c r="H96" s="5">
        <v>32.1</v>
      </c>
      <c r="I96" s="5">
        <v>6.7</v>
      </c>
      <c r="J96" s="5">
        <v>11.1</v>
      </c>
      <c r="K96" s="6">
        <f>IFERROR(database_24_25!$I96/database_24_25!$J96,0)</f>
        <v>0.60360360360360366</v>
      </c>
      <c r="L96" s="5">
        <v>0</v>
      </c>
      <c r="M96" s="5">
        <v>0</v>
      </c>
      <c r="N96" s="6">
        <f>IFERROR(database_24_25!$L96/database_24_25!$M96,0)</f>
        <v>0</v>
      </c>
      <c r="O96" s="5">
        <v>6.7</v>
      </c>
      <c r="P96" s="5">
        <f>database_24_25!$Q96/10</f>
        <v>11.1</v>
      </c>
      <c r="Q96" s="5">
        <v>111</v>
      </c>
      <c r="R96" s="6">
        <f>IFERROR(database_24_25!$O96/database_24_25!$P96,0)</f>
        <v>0.60360360360360366</v>
      </c>
      <c r="S96" s="5">
        <v>1.5</v>
      </c>
      <c r="T96" s="5">
        <v>2.9</v>
      </c>
      <c r="U96" s="6">
        <f>IFERROR(database_24_25!$S96/database_24_25!$T96,0)</f>
        <v>0.51724137931034486</v>
      </c>
      <c r="V96" s="5">
        <v>3.9</v>
      </c>
      <c r="W96" s="5">
        <v>8.5</v>
      </c>
      <c r="X96" s="5">
        <v>12.4</v>
      </c>
      <c r="Y96" s="5">
        <v>2.5</v>
      </c>
      <c r="Z96" s="5">
        <v>0.7</v>
      </c>
      <c r="AA96" s="5">
        <v>1</v>
      </c>
      <c r="AB96" s="5">
        <v>1.8</v>
      </c>
      <c r="AC96" s="5">
        <v>2</v>
      </c>
      <c r="AD96" s="5">
        <v>14.9</v>
      </c>
    </row>
    <row r="97" spans="1:30" x14ac:dyDescent="0.25">
      <c r="A97" s="7">
        <v>960</v>
      </c>
      <c r="B97" s="7" t="s">
        <v>158</v>
      </c>
      <c r="C97" s="7">
        <v>30</v>
      </c>
      <c r="D97" s="7" t="s">
        <v>110</v>
      </c>
      <c r="E97" s="7" t="s">
        <v>32</v>
      </c>
      <c r="F97" s="7">
        <v>32</v>
      </c>
      <c r="G97" s="7">
        <v>32</v>
      </c>
      <c r="H97" s="7">
        <v>35.200000000000003</v>
      </c>
      <c r="I97" s="7">
        <v>5.2</v>
      </c>
      <c r="J97" s="7">
        <v>13.8</v>
      </c>
      <c r="K97" s="6">
        <f>IFERROR(database_24_25!$I97/database_24_25!$J97,0)</f>
        <v>0.37681159420289856</v>
      </c>
      <c r="L97" s="7">
        <v>2.5</v>
      </c>
      <c r="M97" s="7">
        <v>7.7</v>
      </c>
      <c r="N97" s="6">
        <f>IFERROR(database_24_25!$L97/database_24_25!$M97,0)</f>
        <v>0.32467532467532467</v>
      </c>
      <c r="O97" s="7">
        <v>2.7</v>
      </c>
      <c r="P97" s="5">
        <f>database_24_25!$Q97/10</f>
        <v>6.1</v>
      </c>
      <c r="Q97" s="7">
        <v>61</v>
      </c>
      <c r="R97" s="6">
        <f>IFERROR(database_24_25!$O97/database_24_25!$P97,0)</f>
        <v>0.44262295081967218</v>
      </c>
      <c r="S97" s="7">
        <v>2</v>
      </c>
      <c r="T97" s="7">
        <v>2.4</v>
      </c>
      <c r="U97" s="6">
        <f>IFERROR(database_24_25!$S97/database_24_25!$T97,0)</f>
        <v>0.83333333333333337</v>
      </c>
      <c r="V97" s="7">
        <v>0.8</v>
      </c>
      <c r="W97" s="7">
        <v>3.7</v>
      </c>
      <c r="X97" s="7">
        <v>4.5</v>
      </c>
      <c r="Y97" s="7">
        <v>5.9</v>
      </c>
      <c r="Z97" s="7">
        <v>1.5</v>
      </c>
      <c r="AA97" s="7">
        <v>0.5</v>
      </c>
      <c r="AB97" s="7">
        <v>1.5</v>
      </c>
      <c r="AC97" s="7">
        <v>2.4</v>
      </c>
      <c r="AD97" s="7">
        <v>14.8</v>
      </c>
    </row>
    <row r="98" spans="1:30" x14ac:dyDescent="0.25">
      <c r="A98" s="5">
        <v>970</v>
      </c>
      <c r="B98" s="5" t="s">
        <v>159</v>
      </c>
      <c r="C98" s="5">
        <v>29</v>
      </c>
      <c r="D98" s="5" t="s">
        <v>55</v>
      </c>
      <c r="E98" s="5" t="s">
        <v>58</v>
      </c>
      <c r="F98" s="5">
        <v>34</v>
      </c>
      <c r="G98" s="5">
        <v>34</v>
      </c>
      <c r="H98" s="5">
        <v>37.5</v>
      </c>
      <c r="I98" s="5">
        <v>5.5</v>
      </c>
      <c r="J98" s="5">
        <v>9.6999999999999993</v>
      </c>
      <c r="K98" s="6">
        <f>IFERROR(database_24_25!$I98/database_24_25!$J98,0)</f>
        <v>0.56701030927835061</v>
      </c>
      <c r="L98" s="5">
        <v>1.4</v>
      </c>
      <c r="M98" s="5">
        <v>3.6</v>
      </c>
      <c r="N98" s="6">
        <f>IFERROR(database_24_25!$L98/database_24_25!$M98,0)</f>
        <v>0.38888888888888884</v>
      </c>
      <c r="O98" s="5">
        <v>4.0999999999999996</v>
      </c>
      <c r="P98" s="5">
        <f>database_24_25!$Q98/10</f>
        <v>6.1</v>
      </c>
      <c r="Q98" s="5">
        <v>61</v>
      </c>
      <c r="R98" s="6">
        <f>IFERROR(database_24_25!$O98/database_24_25!$P98,0)</f>
        <v>0.67213114754098358</v>
      </c>
      <c r="S98" s="5">
        <v>2.1</v>
      </c>
      <c r="T98" s="5">
        <v>2.7</v>
      </c>
      <c r="U98" s="6">
        <f>IFERROR(database_24_25!$S98/database_24_25!$T98,0)</f>
        <v>0.77777777777777779</v>
      </c>
      <c r="V98" s="5">
        <v>1.8</v>
      </c>
      <c r="W98" s="5">
        <v>6.9</v>
      </c>
      <c r="X98" s="5">
        <v>8.6999999999999993</v>
      </c>
      <c r="Y98" s="5">
        <v>5.6</v>
      </c>
      <c r="Z98" s="5">
        <v>1.4</v>
      </c>
      <c r="AA98" s="5">
        <v>0.4</v>
      </c>
      <c r="AB98" s="5">
        <v>2</v>
      </c>
      <c r="AC98" s="5">
        <v>2.5</v>
      </c>
      <c r="AD98" s="5">
        <v>14.6</v>
      </c>
    </row>
    <row r="99" spans="1:30" x14ac:dyDescent="0.25">
      <c r="A99" s="7">
        <v>980</v>
      </c>
      <c r="B99" s="7" t="s">
        <v>160</v>
      </c>
      <c r="C99" s="7">
        <v>29</v>
      </c>
      <c r="D99" s="7" t="s">
        <v>94</v>
      </c>
      <c r="E99" s="7" t="s">
        <v>27</v>
      </c>
      <c r="F99" s="7">
        <v>15</v>
      </c>
      <c r="G99" s="7">
        <v>13</v>
      </c>
      <c r="H99" s="7">
        <v>26.7</v>
      </c>
      <c r="I99" s="7">
        <v>5.9</v>
      </c>
      <c r="J99" s="7">
        <v>13.4</v>
      </c>
      <c r="K99" s="6">
        <f>IFERROR(database_24_25!$I99/database_24_25!$J99,0)</f>
        <v>0.44029850746268656</v>
      </c>
      <c r="L99" s="7">
        <v>1.1000000000000001</v>
      </c>
      <c r="M99" s="7">
        <v>4.0999999999999996</v>
      </c>
      <c r="N99" s="6">
        <f>IFERROR(database_24_25!$L99/database_24_25!$M99,0)</f>
        <v>0.26829268292682934</v>
      </c>
      <c r="O99" s="7">
        <v>4.9000000000000004</v>
      </c>
      <c r="P99" s="5">
        <f>database_24_25!$Q99/10</f>
        <v>9.3000000000000007</v>
      </c>
      <c r="Q99" s="7">
        <v>93</v>
      </c>
      <c r="R99" s="6">
        <f>IFERROR(database_24_25!$O99/database_24_25!$P99,0)</f>
        <v>0.5268817204301075</v>
      </c>
      <c r="S99" s="7">
        <v>1.6</v>
      </c>
      <c r="T99" s="7">
        <v>2.6</v>
      </c>
      <c r="U99" s="6">
        <f>IFERROR(database_24_25!$S99/database_24_25!$T99,0)</f>
        <v>0.61538461538461542</v>
      </c>
      <c r="V99" s="7">
        <v>0.7</v>
      </c>
      <c r="W99" s="7">
        <v>4.7</v>
      </c>
      <c r="X99" s="7">
        <v>5.4</v>
      </c>
      <c r="Y99" s="7">
        <v>2.1</v>
      </c>
      <c r="Z99" s="7">
        <v>0.5</v>
      </c>
      <c r="AA99" s="7">
        <v>0.2</v>
      </c>
      <c r="AB99" s="7">
        <v>2.2000000000000002</v>
      </c>
      <c r="AC99" s="7">
        <v>1.9</v>
      </c>
      <c r="AD99" s="7">
        <v>14.5</v>
      </c>
    </row>
    <row r="100" spans="1:30" x14ac:dyDescent="0.25">
      <c r="A100" s="5">
        <v>990</v>
      </c>
      <c r="B100" s="5" t="s">
        <v>161</v>
      </c>
      <c r="C100" s="5">
        <v>32</v>
      </c>
      <c r="D100" s="5" t="s">
        <v>94</v>
      </c>
      <c r="E100" s="5" t="s">
        <v>32</v>
      </c>
      <c r="F100" s="5">
        <v>17</v>
      </c>
      <c r="G100" s="5">
        <v>12</v>
      </c>
      <c r="H100" s="5">
        <v>25.5</v>
      </c>
      <c r="I100" s="5">
        <v>4.9000000000000004</v>
      </c>
      <c r="J100" s="5">
        <v>11</v>
      </c>
      <c r="K100" s="6">
        <f>IFERROR(database_24_25!$I100/database_24_25!$J100,0)</f>
        <v>0.44545454545454549</v>
      </c>
      <c r="L100" s="5">
        <v>0.9</v>
      </c>
      <c r="M100" s="5">
        <v>2.7</v>
      </c>
      <c r="N100" s="6">
        <f>IFERROR(database_24_25!$L100/database_24_25!$M100,0)</f>
        <v>0.33333333333333331</v>
      </c>
      <c r="O100" s="5">
        <v>4.0999999999999996</v>
      </c>
      <c r="P100" s="5">
        <f>database_24_25!$Q100/10</f>
        <v>8.3000000000000007</v>
      </c>
      <c r="Q100" s="5">
        <v>83</v>
      </c>
      <c r="R100" s="6">
        <f>IFERROR(database_24_25!$O100/database_24_25!$P100,0)</f>
        <v>0.49397590361445776</v>
      </c>
      <c r="S100" s="5">
        <v>3.6</v>
      </c>
      <c r="T100" s="5">
        <v>4.0999999999999996</v>
      </c>
      <c r="U100" s="6">
        <f>IFERROR(database_24_25!$S100/database_24_25!$T100,0)</f>
        <v>0.87804878048780499</v>
      </c>
      <c r="V100" s="5">
        <v>1</v>
      </c>
      <c r="W100" s="5">
        <v>3.1</v>
      </c>
      <c r="X100" s="5">
        <v>4.0999999999999996</v>
      </c>
      <c r="Y100" s="5">
        <v>3.9</v>
      </c>
      <c r="Z100" s="5">
        <v>0.6</v>
      </c>
      <c r="AA100" s="5">
        <v>0.3</v>
      </c>
      <c r="AB100" s="5">
        <v>1.8</v>
      </c>
      <c r="AC100" s="5">
        <v>1.5</v>
      </c>
      <c r="AD100" s="5">
        <v>14.4</v>
      </c>
    </row>
    <row r="101" spans="1:30" x14ac:dyDescent="0.25">
      <c r="A101" s="7">
        <v>1000</v>
      </c>
      <c r="B101" s="7" t="s">
        <v>162</v>
      </c>
      <c r="C101" s="7">
        <v>26</v>
      </c>
      <c r="D101" s="7" t="s">
        <v>124</v>
      </c>
      <c r="E101" s="7" t="s">
        <v>35</v>
      </c>
      <c r="F101" s="7">
        <v>24</v>
      </c>
      <c r="G101" s="7">
        <v>24</v>
      </c>
      <c r="H101" s="7">
        <v>30.1</v>
      </c>
      <c r="I101" s="7">
        <v>6.7</v>
      </c>
      <c r="J101" s="7">
        <v>11.7</v>
      </c>
      <c r="K101" s="6">
        <f>IFERROR(database_24_25!$I101/database_24_25!$J101,0)</f>
        <v>0.57264957264957272</v>
      </c>
      <c r="L101" s="7">
        <v>0.3</v>
      </c>
      <c r="M101" s="7">
        <v>1.1000000000000001</v>
      </c>
      <c r="N101" s="6">
        <f>IFERROR(database_24_25!$L101/database_24_25!$M101,0)</f>
        <v>0.27272727272727271</v>
      </c>
      <c r="O101" s="7">
        <v>6.4</v>
      </c>
      <c r="P101" s="5">
        <f>database_24_25!$Q101/10</f>
        <v>10.6</v>
      </c>
      <c r="Q101" s="7">
        <v>106</v>
      </c>
      <c r="R101" s="6">
        <f>IFERROR(database_24_25!$O101/database_24_25!$P101,0)</f>
        <v>0.60377358490566047</v>
      </c>
      <c r="S101" s="7">
        <v>0.8</v>
      </c>
      <c r="T101" s="7">
        <v>1.2</v>
      </c>
      <c r="U101" s="6">
        <f>IFERROR(database_24_25!$S101/database_24_25!$T101,0)</f>
        <v>0.66666666666666674</v>
      </c>
      <c r="V101" s="7">
        <v>2.9</v>
      </c>
      <c r="W101" s="7">
        <v>7.1</v>
      </c>
      <c r="X101" s="7">
        <v>10</v>
      </c>
      <c r="Y101" s="7">
        <v>1.4</v>
      </c>
      <c r="Z101" s="7">
        <v>0.9</v>
      </c>
      <c r="AA101" s="7">
        <v>1</v>
      </c>
      <c r="AB101" s="7">
        <v>1.8</v>
      </c>
      <c r="AC101" s="7">
        <v>2.4</v>
      </c>
      <c r="AD101" s="7">
        <v>14.3</v>
      </c>
    </row>
    <row r="102" spans="1:30" x14ac:dyDescent="0.25">
      <c r="A102" s="5">
        <v>1010</v>
      </c>
      <c r="B102" s="5" t="s">
        <v>163</v>
      </c>
      <c r="C102" s="5">
        <v>34</v>
      </c>
      <c r="D102" s="5" t="s">
        <v>43</v>
      </c>
      <c r="E102" s="5" t="s">
        <v>65</v>
      </c>
      <c r="F102" s="5">
        <v>30</v>
      </c>
      <c r="G102" s="5">
        <v>30</v>
      </c>
      <c r="H102" s="5">
        <v>27.8</v>
      </c>
      <c r="I102" s="5">
        <v>5.0999999999999996</v>
      </c>
      <c r="J102" s="5">
        <v>12.2</v>
      </c>
      <c r="K102" s="6">
        <f>IFERROR(database_24_25!$I102/database_24_25!$J102,0)</f>
        <v>0.41803278688524592</v>
      </c>
      <c r="L102" s="5">
        <v>3.1</v>
      </c>
      <c r="M102" s="5">
        <v>8</v>
      </c>
      <c r="N102" s="6">
        <f>IFERROR(database_24_25!$L102/database_24_25!$M102,0)</f>
        <v>0.38750000000000001</v>
      </c>
      <c r="O102" s="5">
        <v>2</v>
      </c>
      <c r="P102" s="5">
        <f>database_24_25!$Q102/10</f>
        <v>4.2</v>
      </c>
      <c r="Q102" s="5">
        <v>42</v>
      </c>
      <c r="R102" s="6">
        <f>IFERROR(database_24_25!$O102/database_24_25!$P102,0)</f>
        <v>0.47619047619047616</v>
      </c>
      <c r="S102" s="5">
        <v>1</v>
      </c>
      <c r="T102" s="5">
        <v>1.1000000000000001</v>
      </c>
      <c r="U102" s="6">
        <f>IFERROR(database_24_25!$S102/database_24_25!$T102,0)</f>
        <v>0.90909090909090906</v>
      </c>
      <c r="V102" s="5">
        <v>0.6</v>
      </c>
      <c r="W102" s="5">
        <v>2.9</v>
      </c>
      <c r="X102" s="5">
        <v>3.5</v>
      </c>
      <c r="Y102" s="5">
        <v>1.9</v>
      </c>
      <c r="Z102" s="5">
        <v>1</v>
      </c>
      <c r="AA102" s="5">
        <v>0.4</v>
      </c>
      <c r="AB102" s="5">
        <v>1.3</v>
      </c>
      <c r="AC102" s="5">
        <v>1.4</v>
      </c>
      <c r="AD102" s="5">
        <v>14.2</v>
      </c>
    </row>
    <row r="103" spans="1:30" x14ac:dyDescent="0.25">
      <c r="A103" s="7">
        <v>1040</v>
      </c>
      <c r="B103" s="7" t="s">
        <v>166</v>
      </c>
      <c r="C103" s="7">
        <v>29</v>
      </c>
      <c r="D103" s="7" t="s">
        <v>29</v>
      </c>
      <c r="E103" s="7" t="s">
        <v>27</v>
      </c>
      <c r="F103" s="7">
        <v>31</v>
      </c>
      <c r="G103" s="7">
        <v>5</v>
      </c>
      <c r="H103" s="7">
        <v>25.5</v>
      </c>
      <c r="I103" s="7">
        <v>5.8</v>
      </c>
      <c r="J103" s="7">
        <v>12.3</v>
      </c>
      <c r="K103" s="6">
        <f>IFERROR(database_24_25!$I103/database_24_25!$J103,0)</f>
        <v>0.47154471544715443</v>
      </c>
      <c r="L103" s="7">
        <v>1.4</v>
      </c>
      <c r="M103" s="7">
        <v>3.6</v>
      </c>
      <c r="N103" s="6">
        <f>IFERROR(database_24_25!$L103/database_24_25!$M103,0)</f>
        <v>0.38888888888888884</v>
      </c>
      <c r="O103" s="7">
        <v>4.4000000000000004</v>
      </c>
      <c r="P103" s="5">
        <f>database_24_25!$Q103/10</f>
        <v>8.6</v>
      </c>
      <c r="Q103" s="7">
        <v>86</v>
      </c>
      <c r="R103" s="6">
        <f>IFERROR(database_24_25!$O103/database_24_25!$P103,0)</f>
        <v>0.51162790697674421</v>
      </c>
      <c r="S103" s="7">
        <v>1.2</v>
      </c>
      <c r="T103" s="7">
        <v>1.5</v>
      </c>
      <c r="U103" s="6">
        <f>IFERROR(database_24_25!$S103/database_24_25!$T103,0)</f>
        <v>0.79999999999999993</v>
      </c>
      <c r="V103" s="7">
        <v>1.8</v>
      </c>
      <c r="W103" s="7">
        <v>6.2</v>
      </c>
      <c r="X103" s="7">
        <v>8.1</v>
      </c>
      <c r="Y103" s="7">
        <v>2.2000000000000002</v>
      </c>
      <c r="Z103" s="7">
        <v>0.7</v>
      </c>
      <c r="AA103" s="7">
        <v>0.6</v>
      </c>
      <c r="AB103" s="7">
        <v>1.3</v>
      </c>
      <c r="AC103" s="7">
        <v>1.7</v>
      </c>
      <c r="AD103" s="7">
        <v>14.1</v>
      </c>
    </row>
    <row r="104" spans="1:30" x14ac:dyDescent="0.25">
      <c r="A104" s="5">
        <v>1020</v>
      </c>
      <c r="B104" s="5" t="s">
        <v>164</v>
      </c>
      <c r="C104" s="5">
        <v>23</v>
      </c>
      <c r="D104" s="5" t="s">
        <v>34</v>
      </c>
      <c r="E104" s="5" t="s">
        <v>58</v>
      </c>
      <c r="F104" s="5">
        <v>32</v>
      </c>
      <c r="G104" s="5">
        <v>32</v>
      </c>
      <c r="H104" s="5">
        <v>34</v>
      </c>
      <c r="I104" s="5">
        <v>5.4</v>
      </c>
      <c r="J104" s="5">
        <v>9.6999999999999993</v>
      </c>
      <c r="K104" s="6">
        <f>IFERROR(database_24_25!$I104/database_24_25!$J104,0)</f>
        <v>0.55670103092783518</v>
      </c>
      <c r="L104" s="5">
        <v>0.9</v>
      </c>
      <c r="M104" s="5">
        <v>2.6</v>
      </c>
      <c r="N104" s="6">
        <f>IFERROR(database_24_25!$L104/database_24_25!$M104,0)</f>
        <v>0.34615384615384615</v>
      </c>
      <c r="O104" s="5">
        <v>4.4000000000000004</v>
      </c>
      <c r="P104" s="5">
        <f>database_24_25!$Q104/10</f>
        <v>7.1</v>
      </c>
      <c r="Q104" s="5">
        <v>71</v>
      </c>
      <c r="R104" s="6">
        <f>IFERROR(database_24_25!$O104/database_24_25!$P104,0)</f>
        <v>0.61971830985915499</v>
      </c>
      <c r="S104" s="5">
        <v>2.4</v>
      </c>
      <c r="T104" s="5">
        <v>3</v>
      </c>
      <c r="U104" s="6">
        <f>IFERROR(database_24_25!$S104/database_24_25!$T104,0)</f>
        <v>0.79999999999999993</v>
      </c>
      <c r="V104" s="5">
        <v>1.2</v>
      </c>
      <c r="W104" s="5">
        <v>3.7</v>
      </c>
      <c r="X104" s="5">
        <v>4.8</v>
      </c>
      <c r="Y104" s="5">
        <v>2.2000000000000002</v>
      </c>
      <c r="Z104" s="5">
        <v>1.2</v>
      </c>
      <c r="AA104" s="5">
        <v>0.6</v>
      </c>
      <c r="AB104" s="5">
        <v>1.1000000000000001</v>
      </c>
      <c r="AC104" s="5">
        <v>2.2999999999999998</v>
      </c>
      <c r="AD104" s="5">
        <v>14.1</v>
      </c>
    </row>
    <row r="105" spans="1:30" x14ac:dyDescent="0.25">
      <c r="A105" s="7">
        <v>1030</v>
      </c>
      <c r="B105" s="7" t="s">
        <v>165</v>
      </c>
      <c r="C105" s="7">
        <v>23</v>
      </c>
      <c r="D105" s="7" t="s">
        <v>37</v>
      </c>
      <c r="E105" s="7" t="s">
        <v>32</v>
      </c>
      <c r="F105" s="7">
        <v>13</v>
      </c>
      <c r="G105" s="7">
        <v>0</v>
      </c>
      <c r="H105" s="7">
        <v>24.5</v>
      </c>
      <c r="I105" s="7">
        <v>5.4</v>
      </c>
      <c r="J105" s="7">
        <v>12.4</v>
      </c>
      <c r="K105" s="6">
        <f>IFERROR(database_24_25!$I105/database_24_25!$J105,0)</f>
        <v>0.43548387096774194</v>
      </c>
      <c r="L105" s="7">
        <v>1.8</v>
      </c>
      <c r="M105" s="7">
        <v>4.5999999999999996</v>
      </c>
      <c r="N105" s="6">
        <f>IFERROR(database_24_25!$L105/database_24_25!$M105,0)</f>
        <v>0.39130434782608697</v>
      </c>
      <c r="O105" s="7">
        <v>3.5</v>
      </c>
      <c r="P105" s="5">
        <f>database_24_25!$Q105/10</f>
        <v>7.8</v>
      </c>
      <c r="Q105" s="7">
        <v>78</v>
      </c>
      <c r="R105" s="6">
        <f>IFERROR(database_24_25!$O105/database_24_25!$P105,0)</f>
        <v>0.44871794871794873</v>
      </c>
      <c r="S105" s="7">
        <v>1.5</v>
      </c>
      <c r="T105" s="7">
        <v>1.6</v>
      </c>
      <c r="U105" s="6">
        <f>IFERROR(database_24_25!$S105/database_24_25!$T105,0)</f>
        <v>0.9375</v>
      </c>
      <c r="V105" s="7">
        <v>0.9</v>
      </c>
      <c r="W105" s="7">
        <v>2</v>
      </c>
      <c r="X105" s="7">
        <v>2.9</v>
      </c>
      <c r="Y105" s="7">
        <v>3</v>
      </c>
      <c r="Z105" s="7">
        <v>0.5</v>
      </c>
      <c r="AA105" s="7">
        <v>0.3</v>
      </c>
      <c r="AB105" s="7">
        <v>1.9</v>
      </c>
      <c r="AC105" s="7">
        <v>1.8</v>
      </c>
      <c r="AD105" s="7">
        <v>14.1</v>
      </c>
    </row>
    <row r="106" spans="1:30" x14ac:dyDescent="0.25">
      <c r="A106" s="5">
        <v>1050</v>
      </c>
      <c r="B106" s="5" t="s">
        <v>167</v>
      </c>
      <c r="C106" s="5">
        <v>29</v>
      </c>
      <c r="D106" s="5" t="s">
        <v>110</v>
      </c>
      <c r="E106" s="5" t="s">
        <v>65</v>
      </c>
      <c r="F106" s="5">
        <v>31</v>
      </c>
      <c r="G106" s="5">
        <v>31</v>
      </c>
      <c r="H106" s="5">
        <v>32.1</v>
      </c>
      <c r="I106" s="5">
        <v>5</v>
      </c>
      <c r="J106" s="5">
        <v>11.9</v>
      </c>
      <c r="K106" s="6">
        <f>IFERROR(database_24_25!$I106/database_24_25!$J106,0)</f>
        <v>0.42016806722689076</v>
      </c>
      <c r="L106" s="5">
        <v>2.4</v>
      </c>
      <c r="M106" s="5">
        <v>6.1</v>
      </c>
      <c r="N106" s="6">
        <f>IFERROR(database_24_25!$L106/database_24_25!$M106,0)</f>
        <v>0.39344262295081966</v>
      </c>
      <c r="O106" s="5">
        <v>2.7</v>
      </c>
      <c r="P106" s="5">
        <f>database_24_25!$Q106/10</f>
        <v>5.8</v>
      </c>
      <c r="Q106" s="5">
        <v>58</v>
      </c>
      <c r="R106" s="6">
        <f>IFERROR(database_24_25!$O106/database_24_25!$P106,0)</f>
        <v>0.46551724137931039</v>
      </c>
      <c r="S106" s="5">
        <v>1.5</v>
      </c>
      <c r="T106" s="5">
        <v>1.8</v>
      </c>
      <c r="U106" s="6">
        <f>IFERROR(database_24_25!$S106/database_24_25!$T106,0)</f>
        <v>0.83333333333333326</v>
      </c>
      <c r="V106" s="5">
        <v>1.3</v>
      </c>
      <c r="W106" s="5">
        <v>2.7</v>
      </c>
      <c r="X106" s="5">
        <v>4</v>
      </c>
      <c r="Y106" s="5">
        <v>1.5</v>
      </c>
      <c r="Z106" s="5">
        <v>0.7</v>
      </c>
      <c r="AA106" s="5">
        <v>0.3</v>
      </c>
      <c r="AB106" s="5">
        <v>1.1000000000000001</v>
      </c>
      <c r="AC106" s="5">
        <v>3.4</v>
      </c>
      <c r="AD106" s="5">
        <v>14</v>
      </c>
    </row>
    <row r="107" spans="1:30" x14ac:dyDescent="0.25">
      <c r="A107" s="7">
        <v>1060</v>
      </c>
      <c r="B107" s="7" t="s">
        <v>168</v>
      </c>
      <c r="C107" s="7">
        <v>21</v>
      </c>
      <c r="D107" s="7" t="s">
        <v>49</v>
      </c>
      <c r="E107" s="7" t="s">
        <v>27</v>
      </c>
      <c r="F107" s="7">
        <v>20</v>
      </c>
      <c r="G107" s="7">
        <v>17</v>
      </c>
      <c r="H107" s="7">
        <v>29.3</v>
      </c>
      <c r="I107" s="7">
        <v>5.5</v>
      </c>
      <c r="J107" s="7">
        <v>10.4</v>
      </c>
      <c r="K107" s="6">
        <f>IFERROR(database_24_25!$I107/database_24_25!$J107,0)</f>
        <v>0.52884615384615385</v>
      </c>
      <c r="L107" s="7">
        <v>0.5</v>
      </c>
      <c r="M107" s="7">
        <v>1.7</v>
      </c>
      <c r="N107" s="6">
        <f>IFERROR(database_24_25!$L107/database_24_25!$M107,0)</f>
        <v>0.29411764705882354</v>
      </c>
      <c r="O107" s="7">
        <v>5</v>
      </c>
      <c r="P107" s="5">
        <f>database_24_25!$Q107/10</f>
        <v>8.6999999999999993</v>
      </c>
      <c r="Q107" s="7">
        <v>87</v>
      </c>
      <c r="R107" s="6">
        <f>IFERROR(database_24_25!$O107/database_24_25!$P107,0)</f>
        <v>0.57471264367816099</v>
      </c>
      <c r="S107" s="7">
        <v>2.6</v>
      </c>
      <c r="T107" s="7">
        <v>3.5</v>
      </c>
      <c r="U107" s="6">
        <f>IFERROR(database_24_25!$S107/database_24_25!$T107,0)</f>
        <v>0.74285714285714288</v>
      </c>
      <c r="V107" s="7">
        <v>2.7</v>
      </c>
      <c r="W107" s="7">
        <v>5.6</v>
      </c>
      <c r="X107" s="7">
        <v>8.3000000000000007</v>
      </c>
      <c r="Y107" s="7">
        <v>2.8</v>
      </c>
      <c r="Z107" s="7">
        <v>0.9</v>
      </c>
      <c r="AA107" s="7">
        <v>0.7</v>
      </c>
      <c r="AB107" s="7">
        <v>1.9</v>
      </c>
      <c r="AC107" s="7">
        <v>2.5</v>
      </c>
      <c r="AD107" s="7">
        <v>13.9</v>
      </c>
    </row>
    <row r="108" spans="1:30" x14ac:dyDescent="0.25">
      <c r="A108" s="5">
        <v>1070</v>
      </c>
      <c r="B108" s="5" t="s">
        <v>169</v>
      </c>
      <c r="C108" s="5">
        <v>29</v>
      </c>
      <c r="D108" s="5" t="s">
        <v>34</v>
      </c>
      <c r="E108" s="5" t="s">
        <v>27</v>
      </c>
      <c r="F108" s="5">
        <v>17</v>
      </c>
      <c r="G108" s="5">
        <v>16</v>
      </c>
      <c r="H108" s="5">
        <v>28.8</v>
      </c>
      <c r="I108" s="5">
        <v>4.8</v>
      </c>
      <c r="J108" s="5">
        <v>9.1</v>
      </c>
      <c r="K108" s="6">
        <f>IFERROR(database_24_25!$I108/database_24_25!$J108,0)</f>
        <v>0.52747252747252749</v>
      </c>
      <c r="L108" s="5">
        <v>1.3</v>
      </c>
      <c r="M108" s="5">
        <v>2.9</v>
      </c>
      <c r="N108" s="6">
        <f>IFERROR(database_24_25!$L108/database_24_25!$M108,0)</f>
        <v>0.44827586206896552</v>
      </c>
      <c r="O108" s="5">
        <v>3.5</v>
      </c>
      <c r="P108" s="5">
        <f>database_24_25!$Q108/10</f>
        <v>6.2</v>
      </c>
      <c r="Q108" s="5">
        <v>62</v>
      </c>
      <c r="R108" s="6">
        <f>IFERROR(database_24_25!$O108/database_24_25!$P108,0)</f>
        <v>0.56451612903225801</v>
      </c>
      <c r="S108" s="5">
        <v>2.9</v>
      </c>
      <c r="T108" s="5">
        <v>3.8</v>
      </c>
      <c r="U108" s="6">
        <f>IFERROR(database_24_25!$S108/database_24_25!$T108,0)</f>
        <v>0.76315789473684215</v>
      </c>
      <c r="V108" s="5">
        <v>1.9</v>
      </c>
      <c r="W108" s="5">
        <v>3.9</v>
      </c>
      <c r="X108" s="5">
        <v>5.8</v>
      </c>
      <c r="Y108" s="5">
        <v>3.1</v>
      </c>
      <c r="Z108" s="5">
        <v>0.5</v>
      </c>
      <c r="AA108" s="5">
        <v>0.2</v>
      </c>
      <c r="AB108" s="5">
        <v>1.4</v>
      </c>
      <c r="AC108" s="5">
        <v>1.8</v>
      </c>
      <c r="AD108" s="5">
        <v>13.7</v>
      </c>
    </row>
    <row r="109" spans="1:30" x14ac:dyDescent="0.25">
      <c r="A109" s="7">
        <v>1090</v>
      </c>
      <c r="B109" s="7" t="s">
        <v>171</v>
      </c>
      <c r="C109" s="7">
        <v>24</v>
      </c>
      <c r="D109" s="7" t="s">
        <v>124</v>
      </c>
      <c r="E109" s="7" t="s">
        <v>65</v>
      </c>
      <c r="F109" s="7">
        <v>33</v>
      </c>
      <c r="G109" s="7">
        <v>15</v>
      </c>
      <c r="H109" s="7">
        <v>27.1</v>
      </c>
      <c r="I109" s="7">
        <v>4.5</v>
      </c>
      <c r="J109" s="7">
        <v>9.8000000000000007</v>
      </c>
      <c r="K109" s="6">
        <f>IFERROR(database_24_25!$I109/database_24_25!$J109,0)</f>
        <v>0.45918367346938771</v>
      </c>
      <c r="L109" s="7">
        <v>1.4</v>
      </c>
      <c r="M109" s="7">
        <v>4</v>
      </c>
      <c r="N109" s="6">
        <f>IFERROR(database_24_25!$L109/database_24_25!$M109,0)</f>
        <v>0.35</v>
      </c>
      <c r="O109" s="7">
        <v>3</v>
      </c>
      <c r="P109" s="5">
        <f>database_24_25!$Q109/10</f>
        <v>5.8</v>
      </c>
      <c r="Q109" s="7">
        <v>58</v>
      </c>
      <c r="R109" s="6">
        <f>IFERROR(database_24_25!$O109/database_24_25!$P109,0)</f>
        <v>0.51724137931034486</v>
      </c>
      <c r="S109" s="7">
        <v>3.2</v>
      </c>
      <c r="T109" s="7">
        <v>4.0999999999999996</v>
      </c>
      <c r="U109" s="6">
        <f>IFERROR(database_24_25!$S109/database_24_25!$T109,0)</f>
        <v>0.78048780487804892</v>
      </c>
      <c r="V109" s="7">
        <v>1.3</v>
      </c>
      <c r="W109" s="7">
        <v>4.5999999999999996</v>
      </c>
      <c r="X109" s="7">
        <v>5.9</v>
      </c>
      <c r="Y109" s="7">
        <v>3.2</v>
      </c>
      <c r="Z109" s="7">
        <v>0.9</v>
      </c>
      <c r="AA109" s="7">
        <v>0.7</v>
      </c>
      <c r="AB109" s="7">
        <v>2.2999999999999998</v>
      </c>
      <c r="AC109" s="7">
        <v>2.2000000000000002</v>
      </c>
      <c r="AD109" s="7">
        <v>13.6</v>
      </c>
    </row>
    <row r="110" spans="1:30" x14ac:dyDescent="0.25">
      <c r="A110" s="7">
        <v>1100</v>
      </c>
      <c r="B110" s="7" t="s">
        <v>172</v>
      </c>
      <c r="C110" s="7">
        <v>33</v>
      </c>
      <c r="D110" s="7" t="s">
        <v>29</v>
      </c>
      <c r="E110" s="7" t="s">
        <v>65</v>
      </c>
      <c r="F110" s="7">
        <v>11</v>
      </c>
      <c r="G110" s="7">
        <v>6</v>
      </c>
      <c r="H110" s="7">
        <v>23.6</v>
      </c>
      <c r="I110" s="7">
        <v>4.9000000000000004</v>
      </c>
      <c r="J110" s="7">
        <v>10.7</v>
      </c>
      <c r="K110" s="6">
        <f>IFERROR(database_24_25!$I110/database_24_25!$J110,0)</f>
        <v>0.45794392523364491</v>
      </c>
      <c r="L110" s="7">
        <v>1.7</v>
      </c>
      <c r="M110" s="7">
        <v>4</v>
      </c>
      <c r="N110" s="6">
        <f>IFERROR(database_24_25!$L110/database_24_25!$M110,0)</f>
        <v>0.42499999999999999</v>
      </c>
      <c r="O110" s="7">
        <v>3.2</v>
      </c>
      <c r="P110" s="5">
        <f>database_24_25!$Q110/10</f>
        <v>6.7</v>
      </c>
      <c r="Q110" s="7">
        <v>67</v>
      </c>
      <c r="R110" s="6">
        <f>IFERROR(database_24_25!$O110/database_24_25!$P110,0)</f>
        <v>0.47761194029850745</v>
      </c>
      <c r="S110" s="7">
        <v>2.1</v>
      </c>
      <c r="T110" s="7">
        <v>2.5</v>
      </c>
      <c r="U110" s="6">
        <f>IFERROR(database_24_25!$S110/database_24_25!$T110,0)</f>
        <v>0.84000000000000008</v>
      </c>
      <c r="V110" s="7">
        <v>0.4</v>
      </c>
      <c r="W110" s="7">
        <v>3.8</v>
      </c>
      <c r="X110" s="7">
        <v>4.2</v>
      </c>
      <c r="Y110" s="7">
        <v>5.2</v>
      </c>
      <c r="Z110" s="7">
        <v>0.9</v>
      </c>
      <c r="AA110" s="7">
        <v>0.2</v>
      </c>
      <c r="AB110" s="7">
        <v>2.4</v>
      </c>
      <c r="AC110" s="7">
        <v>2.6</v>
      </c>
      <c r="AD110" s="7">
        <v>13.6</v>
      </c>
    </row>
    <row r="111" spans="1:30" x14ac:dyDescent="0.25">
      <c r="A111" s="5">
        <v>1080</v>
      </c>
      <c r="B111" s="5" t="s">
        <v>170</v>
      </c>
      <c r="C111" s="5">
        <v>26</v>
      </c>
      <c r="D111" s="5" t="s">
        <v>79</v>
      </c>
      <c r="E111" s="5" t="s">
        <v>35</v>
      </c>
      <c r="F111" s="5">
        <v>34</v>
      </c>
      <c r="G111" s="5">
        <v>34</v>
      </c>
      <c r="H111" s="5">
        <v>29</v>
      </c>
      <c r="I111" s="5">
        <v>5.6</v>
      </c>
      <c r="J111" s="5">
        <v>8.1</v>
      </c>
      <c r="K111" s="6">
        <f>IFERROR(database_24_25!$I111/database_24_25!$J111,0)</f>
        <v>0.69135802469135799</v>
      </c>
      <c r="L111" s="5">
        <v>0</v>
      </c>
      <c r="M111" s="5">
        <v>0</v>
      </c>
      <c r="N111" s="6">
        <f>IFERROR(database_24_25!$L111/database_24_25!$M111,0)</f>
        <v>0</v>
      </c>
      <c r="O111" s="5">
        <v>5.6</v>
      </c>
      <c r="P111" s="5">
        <f>database_24_25!$Q111/10</f>
        <v>8.1</v>
      </c>
      <c r="Q111" s="5">
        <v>81</v>
      </c>
      <c r="R111" s="6">
        <f>IFERROR(database_24_25!$O111/database_24_25!$P111,0)</f>
        <v>0.69135802469135799</v>
      </c>
      <c r="S111" s="5">
        <v>2.4</v>
      </c>
      <c r="T111" s="5">
        <v>3.3</v>
      </c>
      <c r="U111" s="6">
        <f>IFERROR(database_24_25!$S111/database_24_25!$T111,0)</f>
        <v>0.72727272727272729</v>
      </c>
      <c r="V111" s="5">
        <v>2.2999999999999998</v>
      </c>
      <c r="W111" s="5">
        <v>7.7</v>
      </c>
      <c r="X111" s="5">
        <v>10.1</v>
      </c>
      <c r="Y111" s="5">
        <v>1.8</v>
      </c>
      <c r="Z111" s="5">
        <v>1</v>
      </c>
      <c r="AA111" s="5">
        <v>0.9</v>
      </c>
      <c r="AB111" s="5">
        <v>1.1000000000000001</v>
      </c>
      <c r="AC111" s="5">
        <v>1.4</v>
      </c>
      <c r="AD111" s="5">
        <v>13.6</v>
      </c>
    </row>
    <row r="112" spans="1:30" x14ac:dyDescent="0.25">
      <c r="A112" s="5">
        <v>1110</v>
      </c>
      <c r="B112" s="5" t="s">
        <v>173</v>
      </c>
      <c r="C112" s="5">
        <v>32</v>
      </c>
      <c r="D112" s="5" t="s">
        <v>73</v>
      </c>
      <c r="E112" s="5" t="s">
        <v>27</v>
      </c>
      <c r="F112" s="5">
        <v>32</v>
      </c>
      <c r="G112" s="5">
        <v>32</v>
      </c>
      <c r="H112" s="5">
        <v>31.8</v>
      </c>
      <c r="I112" s="5">
        <v>5</v>
      </c>
      <c r="J112" s="5">
        <v>11.2</v>
      </c>
      <c r="K112" s="6">
        <f>IFERROR(database_24_25!$I112/database_24_25!$J112,0)</f>
        <v>0.44642857142857145</v>
      </c>
      <c r="L112" s="5">
        <v>1.4</v>
      </c>
      <c r="M112" s="5">
        <v>4.2</v>
      </c>
      <c r="N112" s="6">
        <f>IFERROR(database_24_25!$L112/database_24_25!$M112,0)</f>
        <v>0.33333333333333331</v>
      </c>
      <c r="O112" s="5">
        <v>3.5</v>
      </c>
      <c r="P112" s="5">
        <f>database_24_25!$Q112/10</f>
        <v>7</v>
      </c>
      <c r="Q112" s="5">
        <v>70</v>
      </c>
      <c r="R112" s="6">
        <f>IFERROR(database_24_25!$O112/database_24_25!$P112,0)</f>
        <v>0.5</v>
      </c>
      <c r="S112" s="5">
        <v>1.8</v>
      </c>
      <c r="T112" s="5">
        <v>2.2000000000000002</v>
      </c>
      <c r="U112" s="6">
        <f>IFERROR(database_24_25!$S112/database_24_25!$T112,0)</f>
        <v>0.81818181818181812</v>
      </c>
      <c r="V112" s="5">
        <v>1.1000000000000001</v>
      </c>
      <c r="W112" s="5">
        <v>5.4</v>
      </c>
      <c r="X112" s="5">
        <v>6.5</v>
      </c>
      <c r="Y112" s="5">
        <v>2.2999999999999998</v>
      </c>
      <c r="Z112" s="5">
        <v>0.8</v>
      </c>
      <c r="AA112" s="5">
        <v>0.9</v>
      </c>
      <c r="AB112" s="5">
        <v>1.1000000000000001</v>
      </c>
      <c r="AC112" s="5">
        <v>2</v>
      </c>
      <c r="AD112" s="5">
        <v>13.2</v>
      </c>
    </row>
    <row r="113" spans="1:30" x14ac:dyDescent="0.25">
      <c r="A113" s="7">
        <v>1120</v>
      </c>
      <c r="B113" s="7" t="s">
        <v>174</v>
      </c>
      <c r="C113" s="7">
        <v>24</v>
      </c>
      <c r="D113" s="7" t="s">
        <v>88</v>
      </c>
      <c r="E113" s="7" t="s">
        <v>27</v>
      </c>
      <c r="F113" s="7">
        <v>31</v>
      </c>
      <c r="G113" s="7">
        <v>11</v>
      </c>
      <c r="H113" s="7">
        <v>25.7</v>
      </c>
      <c r="I113" s="7">
        <v>5.0999999999999996</v>
      </c>
      <c r="J113" s="7">
        <v>10</v>
      </c>
      <c r="K113" s="6">
        <f>IFERROR(database_24_25!$I113/database_24_25!$J113,0)</f>
        <v>0.51</v>
      </c>
      <c r="L113" s="7">
        <v>1.7</v>
      </c>
      <c r="M113" s="7">
        <v>4.5</v>
      </c>
      <c r="N113" s="6">
        <f>IFERROR(database_24_25!$L113/database_24_25!$M113,0)</f>
        <v>0.37777777777777777</v>
      </c>
      <c r="O113" s="7">
        <v>3.4</v>
      </c>
      <c r="P113" s="5">
        <f>database_24_25!$Q113/10</f>
        <v>5.5</v>
      </c>
      <c r="Q113" s="7">
        <v>55</v>
      </c>
      <c r="R113" s="6">
        <f>IFERROR(database_24_25!$O113/database_24_25!$P113,0)</f>
        <v>0.61818181818181817</v>
      </c>
      <c r="S113" s="7">
        <v>1.1000000000000001</v>
      </c>
      <c r="T113" s="7">
        <v>1.4</v>
      </c>
      <c r="U113" s="6">
        <f>IFERROR(database_24_25!$S113/database_24_25!$T113,0)</f>
        <v>0.78571428571428581</v>
      </c>
      <c r="V113" s="7">
        <v>1.5</v>
      </c>
      <c r="W113" s="7">
        <v>5.7</v>
      </c>
      <c r="X113" s="7">
        <v>7.3</v>
      </c>
      <c r="Y113" s="7">
        <v>3</v>
      </c>
      <c r="Z113" s="7">
        <v>0.9</v>
      </c>
      <c r="AA113" s="7">
        <v>0.5</v>
      </c>
      <c r="AB113" s="7">
        <v>1.2</v>
      </c>
      <c r="AC113" s="7">
        <v>1</v>
      </c>
      <c r="AD113" s="7">
        <v>13</v>
      </c>
    </row>
    <row r="114" spans="1:30" x14ac:dyDescent="0.25">
      <c r="A114" s="7">
        <v>1140</v>
      </c>
      <c r="B114" s="7" t="s">
        <v>176</v>
      </c>
      <c r="C114" s="7">
        <v>27</v>
      </c>
      <c r="D114" s="7" t="s">
        <v>39</v>
      </c>
      <c r="E114" s="7" t="s">
        <v>35</v>
      </c>
      <c r="F114" s="7">
        <v>30</v>
      </c>
      <c r="G114" s="7">
        <v>1</v>
      </c>
      <c r="H114" s="7">
        <v>18.8</v>
      </c>
      <c r="I114" s="7">
        <v>4.7</v>
      </c>
      <c r="J114" s="7">
        <v>8.3000000000000007</v>
      </c>
      <c r="K114" s="6">
        <f>IFERROR(database_24_25!$I114/database_24_25!$J114,0)</f>
        <v>0.56626506024096379</v>
      </c>
      <c r="L114" s="7">
        <v>0.9</v>
      </c>
      <c r="M114" s="7">
        <v>2.5</v>
      </c>
      <c r="N114" s="6">
        <f>IFERROR(database_24_25!$L114/database_24_25!$M114,0)</f>
        <v>0.36</v>
      </c>
      <c r="O114" s="7">
        <v>3.8</v>
      </c>
      <c r="P114" s="5">
        <f>database_24_25!$Q114/10</f>
        <v>5.8</v>
      </c>
      <c r="Q114" s="7">
        <v>58</v>
      </c>
      <c r="R114" s="6">
        <f>IFERROR(database_24_25!$O114/database_24_25!$P114,0)</f>
        <v>0.65517241379310343</v>
      </c>
      <c r="S114" s="7">
        <v>2.6</v>
      </c>
      <c r="T114" s="7">
        <v>3.7</v>
      </c>
      <c r="U114" s="6">
        <f>IFERROR(database_24_25!$S114/database_24_25!$T114,0)</f>
        <v>0.70270270270270274</v>
      </c>
      <c r="V114" s="7">
        <v>1.3</v>
      </c>
      <c r="W114" s="7">
        <v>3.6</v>
      </c>
      <c r="X114" s="7">
        <v>4.9000000000000004</v>
      </c>
      <c r="Y114" s="7">
        <v>1.4</v>
      </c>
      <c r="Z114" s="7">
        <v>0.8</v>
      </c>
      <c r="AA114" s="7">
        <v>0.4</v>
      </c>
      <c r="AB114" s="7">
        <v>1.6</v>
      </c>
      <c r="AC114" s="7">
        <v>1.8</v>
      </c>
      <c r="AD114" s="7">
        <v>12.9</v>
      </c>
    </row>
    <row r="115" spans="1:30" x14ac:dyDescent="0.25">
      <c r="A115" s="5">
        <v>1130</v>
      </c>
      <c r="B115" s="5" t="s">
        <v>175</v>
      </c>
      <c r="C115" s="5">
        <v>21</v>
      </c>
      <c r="D115" s="5" t="s">
        <v>84</v>
      </c>
      <c r="E115" s="5" t="s">
        <v>58</v>
      </c>
      <c r="F115" s="5">
        <v>31</v>
      </c>
      <c r="G115" s="5">
        <v>31</v>
      </c>
      <c r="H115" s="5">
        <v>33.4</v>
      </c>
      <c r="I115" s="5">
        <v>5.4</v>
      </c>
      <c r="J115" s="5">
        <v>12.2</v>
      </c>
      <c r="K115" s="6">
        <f>IFERROR(database_24_25!$I115/database_24_25!$J115,0)</f>
        <v>0.44262295081967218</v>
      </c>
      <c r="L115" s="5">
        <v>1.2</v>
      </c>
      <c r="M115" s="5">
        <v>3.9</v>
      </c>
      <c r="N115" s="6">
        <f>IFERROR(database_24_25!$L115/database_24_25!$M115,0)</f>
        <v>0.30769230769230771</v>
      </c>
      <c r="O115" s="5">
        <v>4.2</v>
      </c>
      <c r="P115" s="5">
        <f>database_24_25!$Q115/10</f>
        <v>8.1999999999999993</v>
      </c>
      <c r="Q115" s="5">
        <v>82</v>
      </c>
      <c r="R115" s="6">
        <f>IFERROR(database_24_25!$O115/database_24_25!$P115,0)</f>
        <v>0.51219512195121952</v>
      </c>
      <c r="S115" s="5">
        <v>0.8</v>
      </c>
      <c r="T115" s="5">
        <v>1.4</v>
      </c>
      <c r="U115" s="6">
        <f>IFERROR(database_24_25!$S115/database_24_25!$T115,0)</f>
        <v>0.57142857142857151</v>
      </c>
      <c r="V115" s="5">
        <v>1.6</v>
      </c>
      <c r="W115" s="5">
        <v>3.4</v>
      </c>
      <c r="X115" s="5">
        <v>5</v>
      </c>
      <c r="Y115" s="5">
        <v>3.6</v>
      </c>
      <c r="Z115" s="5">
        <v>3.2</v>
      </c>
      <c r="AA115" s="5">
        <v>0.8</v>
      </c>
      <c r="AB115" s="5">
        <v>1.8</v>
      </c>
      <c r="AC115" s="5">
        <v>2.4</v>
      </c>
      <c r="AD115" s="5">
        <v>12.9</v>
      </c>
    </row>
    <row r="116" spans="1:30" x14ac:dyDescent="0.25">
      <c r="A116" s="5">
        <v>1150</v>
      </c>
      <c r="B116" s="5" t="s">
        <v>177</v>
      </c>
      <c r="C116" s="5">
        <v>20</v>
      </c>
      <c r="D116" s="5" t="s">
        <v>94</v>
      </c>
      <c r="E116" s="5" t="s">
        <v>65</v>
      </c>
      <c r="F116" s="5">
        <v>29</v>
      </c>
      <c r="G116" s="5">
        <v>29</v>
      </c>
      <c r="H116" s="5">
        <v>33.799999999999997</v>
      </c>
      <c r="I116" s="5">
        <v>4.5999999999999996</v>
      </c>
      <c r="J116" s="5">
        <v>10.8</v>
      </c>
      <c r="K116" s="6">
        <f>IFERROR(database_24_25!$I116/database_24_25!$J116,0)</f>
        <v>0.42592592592592587</v>
      </c>
      <c r="L116" s="5">
        <v>1.1000000000000001</v>
      </c>
      <c r="M116" s="5">
        <v>3.8</v>
      </c>
      <c r="N116" s="6">
        <f>IFERROR(database_24_25!$L116/database_24_25!$M116,0)</f>
        <v>0.28947368421052633</v>
      </c>
      <c r="O116" s="5">
        <v>3.4</v>
      </c>
      <c r="P116" s="5">
        <f>database_24_25!$Q116/10</f>
        <v>6.9</v>
      </c>
      <c r="Q116" s="5">
        <v>69</v>
      </c>
      <c r="R116" s="6">
        <f>IFERROR(database_24_25!$O116/database_24_25!$P116,0)</f>
        <v>0.49275362318840576</v>
      </c>
      <c r="S116" s="5">
        <v>2.5</v>
      </c>
      <c r="T116" s="5">
        <v>3.2</v>
      </c>
      <c r="U116" s="6">
        <f>IFERROR(database_24_25!$S116/database_24_25!$T116,0)</f>
        <v>0.78125</v>
      </c>
      <c r="V116" s="5">
        <v>1.3</v>
      </c>
      <c r="W116" s="5">
        <v>4.0999999999999996</v>
      </c>
      <c r="X116" s="5">
        <v>5.5</v>
      </c>
      <c r="Y116" s="5">
        <v>3.6</v>
      </c>
      <c r="Z116" s="5">
        <v>1.4</v>
      </c>
      <c r="AA116" s="5">
        <v>0.8</v>
      </c>
      <c r="AB116" s="5">
        <v>2</v>
      </c>
      <c r="AC116" s="5">
        <v>2.4</v>
      </c>
      <c r="AD116" s="5">
        <v>12.8</v>
      </c>
    </row>
    <row r="117" spans="1:30" x14ac:dyDescent="0.25">
      <c r="A117" s="7">
        <v>1160</v>
      </c>
      <c r="B117" s="7" t="s">
        <v>178</v>
      </c>
      <c r="C117" s="7">
        <v>29</v>
      </c>
      <c r="D117" s="7" t="s">
        <v>53</v>
      </c>
      <c r="E117" s="7" t="s">
        <v>65</v>
      </c>
      <c r="F117" s="7">
        <v>30</v>
      </c>
      <c r="G117" s="7">
        <v>27</v>
      </c>
      <c r="H117" s="7">
        <v>32.4</v>
      </c>
      <c r="I117" s="7">
        <v>4.9000000000000004</v>
      </c>
      <c r="J117" s="7">
        <v>10.8</v>
      </c>
      <c r="K117" s="6">
        <f>IFERROR(database_24_25!$I117/database_24_25!$J117,0)</f>
        <v>0.45370370370370372</v>
      </c>
      <c r="L117" s="7">
        <v>1.2</v>
      </c>
      <c r="M117" s="7">
        <v>4.3</v>
      </c>
      <c r="N117" s="6">
        <f>IFERROR(database_24_25!$L117/database_24_25!$M117,0)</f>
        <v>0.27906976744186046</v>
      </c>
      <c r="O117" s="7">
        <v>3.7</v>
      </c>
      <c r="P117" s="5">
        <f>database_24_25!$Q117/10</f>
        <v>6.5</v>
      </c>
      <c r="Q117" s="7">
        <v>65</v>
      </c>
      <c r="R117" s="6">
        <f>IFERROR(database_24_25!$O117/database_24_25!$P117,0)</f>
        <v>0.56923076923076921</v>
      </c>
      <c r="S117" s="7">
        <v>1.7</v>
      </c>
      <c r="T117" s="7">
        <v>2.4</v>
      </c>
      <c r="U117" s="6">
        <f>IFERROR(database_24_25!$S117/database_24_25!$T117,0)</f>
        <v>0.70833333333333337</v>
      </c>
      <c r="V117" s="7">
        <v>1.6</v>
      </c>
      <c r="W117" s="7">
        <v>4.0999999999999996</v>
      </c>
      <c r="X117" s="7">
        <v>5.7</v>
      </c>
      <c r="Y117" s="7">
        <v>1.5</v>
      </c>
      <c r="Z117" s="7">
        <v>1.4</v>
      </c>
      <c r="AA117" s="7">
        <v>0.5</v>
      </c>
      <c r="AB117" s="7">
        <v>1.3</v>
      </c>
      <c r="AC117" s="7">
        <v>2.8</v>
      </c>
      <c r="AD117" s="7">
        <v>12.8</v>
      </c>
    </row>
    <row r="118" spans="1:30" x14ac:dyDescent="0.25">
      <c r="A118" s="5">
        <v>1190</v>
      </c>
      <c r="B118" s="5" t="s">
        <v>181</v>
      </c>
      <c r="C118" s="5">
        <v>28</v>
      </c>
      <c r="D118" s="5" t="s">
        <v>45</v>
      </c>
      <c r="E118" s="5" t="s">
        <v>32</v>
      </c>
      <c r="F118" s="5">
        <v>32</v>
      </c>
      <c r="G118" s="5">
        <v>32</v>
      </c>
      <c r="H118" s="5">
        <v>31.3</v>
      </c>
      <c r="I118" s="5">
        <v>4.8</v>
      </c>
      <c r="J118" s="5">
        <v>9.6999999999999993</v>
      </c>
      <c r="K118" s="6">
        <f>IFERROR(database_24_25!$I118/database_24_25!$J118,0)</f>
        <v>0.49484536082474229</v>
      </c>
      <c r="L118" s="5">
        <v>2.2999999999999998</v>
      </c>
      <c r="M118" s="5">
        <v>5.3</v>
      </c>
      <c r="N118" s="6">
        <f>IFERROR(database_24_25!$L118/database_24_25!$M118,0)</f>
        <v>0.43396226415094336</v>
      </c>
      <c r="O118" s="5">
        <v>2.5</v>
      </c>
      <c r="P118" s="5">
        <f>database_24_25!$Q118/10</f>
        <v>4.5</v>
      </c>
      <c r="Q118" s="5">
        <v>45</v>
      </c>
      <c r="R118" s="6">
        <f>IFERROR(database_24_25!$O118/database_24_25!$P118,0)</f>
        <v>0.55555555555555558</v>
      </c>
      <c r="S118" s="5">
        <v>0.8</v>
      </c>
      <c r="T118" s="5">
        <v>0.9</v>
      </c>
      <c r="U118" s="6">
        <f>IFERROR(database_24_25!$S118/database_24_25!$T118,0)</f>
        <v>0.88888888888888895</v>
      </c>
      <c r="V118" s="5">
        <v>0.6</v>
      </c>
      <c r="W118" s="5">
        <v>2.1</v>
      </c>
      <c r="X118" s="5">
        <v>2.6</v>
      </c>
      <c r="Y118" s="5">
        <v>6.3</v>
      </c>
      <c r="Z118" s="5">
        <v>1</v>
      </c>
      <c r="AA118" s="5">
        <v>0.2</v>
      </c>
      <c r="AB118" s="5">
        <v>1.3</v>
      </c>
      <c r="AC118" s="5">
        <v>1.1000000000000001</v>
      </c>
      <c r="AD118" s="5">
        <v>12.6</v>
      </c>
    </row>
    <row r="119" spans="1:30" x14ac:dyDescent="0.25">
      <c r="A119" s="5">
        <v>1200</v>
      </c>
      <c r="B119" s="5" t="s">
        <v>182</v>
      </c>
      <c r="C119" s="5">
        <v>25</v>
      </c>
      <c r="D119" s="5" t="s">
        <v>63</v>
      </c>
      <c r="E119" s="5" t="s">
        <v>35</v>
      </c>
      <c r="F119" s="5">
        <v>33</v>
      </c>
      <c r="G119" s="5">
        <v>0</v>
      </c>
      <c r="H119" s="5">
        <v>24.7</v>
      </c>
      <c r="I119" s="5">
        <v>4.7</v>
      </c>
      <c r="J119" s="5">
        <v>10.199999999999999</v>
      </c>
      <c r="K119" s="6">
        <f>IFERROR(database_24_25!$I119/database_24_25!$J119,0)</f>
        <v>0.46078431372549022</v>
      </c>
      <c r="L119" s="5">
        <v>1.8</v>
      </c>
      <c r="M119" s="5">
        <v>4.9000000000000004</v>
      </c>
      <c r="N119" s="6">
        <f>IFERROR(database_24_25!$L119/database_24_25!$M119,0)</f>
        <v>0.36734693877551017</v>
      </c>
      <c r="O119" s="5">
        <v>2.9</v>
      </c>
      <c r="P119" s="5">
        <f>database_24_25!$Q119/10</f>
        <v>5.2</v>
      </c>
      <c r="Q119" s="5">
        <v>52</v>
      </c>
      <c r="R119" s="6">
        <f>IFERROR(database_24_25!$O119/database_24_25!$P119,0)</f>
        <v>0.55769230769230771</v>
      </c>
      <c r="S119" s="5">
        <v>1.5</v>
      </c>
      <c r="T119" s="5">
        <v>1.8</v>
      </c>
      <c r="U119" s="6">
        <f>IFERROR(database_24_25!$S119/database_24_25!$T119,0)</f>
        <v>0.83333333333333326</v>
      </c>
      <c r="V119" s="5">
        <v>0.8</v>
      </c>
      <c r="W119" s="5">
        <v>4.2</v>
      </c>
      <c r="X119" s="5">
        <v>5</v>
      </c>
      <c r="Y119" s="5">
        <v>1.7</v>
      </c>
      <c r="Z119" s="5">
        <v>0.7</v>
      </c>
      <c r="AA119" s="5">
        <v>0.8</v>
      </c>
      <c r="AB119" s="5">
        <v>1.3</v>
      </c>
      <c r="AC119" s="5">
        <v>2.4</v>
      </c>
      <c r="AD119" s="5">
        <v>12.6</v>
      </c>
    </row>
    <row r="120" spans="1:30" x14ac:dyDescent="0.25">
      <c r="A120" s="7">
        <v>1210</v>
      </c>
      <c r="B120" s="7" t="s">
        <v>183</v>
      </c>
      <c r="C120" s="7">
        <v>26</v>
      </c>
      <c r="D120" s="7" t="s">
        <v>43</v>
      </c>
      <c r="E120" s="7" t="s">
        <v>27</v>
      </c>
      <c r="F120" s="7">
        <v>28</v>
      </c>
      <c r="G120" s="7">
        <v>27</v>
      </c>
      <c r="H120" s="7">
        <v>31.9</v>
      </c>
      <c r="I120" s="7">
        <v>4.5999999999999996</v>
      </c>
      <c r="J120" s="7">
        <v>10.5</v>
      </c>
      <c r="K120" s="6">
        <f>IFERROR(database_24_25!$I120/database_24_25!$J120,0)</f>
        <v>0.43809523809523804</v>
      </c>
      <c r="L120" s="7">
        <v>1.6</v>
      </c>
      <c r="M120" s="7">
        <v>4.0999999999999996</v>
      </c>
      <c r="N120" s="6">
        <f>IFERROR(database_24_25!$L120/database_24_25!$M120,0)</f>
        <v>0.39024390243902446</v>
      </c>
      <c r="O120" s="7">
        <v>3</v>
      </c>
      <c r="P120" s="5">
        <f>database_24_25!$Q120/10</f>
        <v>6.3</v>
      </c>
      <c r="Q120" s="7">
        <v>63</v>
      </c>
      <c r="R120" s="6">
        <f>IFERROR(database_24_25!$O120/database_24_25!$P120,0)</f>
        <v>0.47619047619047622</v>
      </c>
      <c r="S120" s="7">
        <v>1.9</v>
      </c>
      <c r="T120" s="7">
        <v>2.5</v>
      </c>
      <c r="U120" s="6">
        <f>IFERROR(database_24_25!$S120/database_24_25!$T120,0)</f>
        <v>0.76</v>
      </c>
      <c r="V120" s="7">
        <v>1.4</v>
      </c>
      <c r="W120" s="7">
        <v>6</v>
      </c>
      <c r="X120" s="7">
        <v>7.4</v>
      </c>
      <c r="Y120" s="7">
        <v>2.1</v>
      </c>
      <c r="Z120" s="7">
        <v>1.1000000000000001</v>
      </c>
      <c r="AA120" s="7">
        <v>1.1000000000000001</v>
      </c>
      <c r="AB120" s="7">
        <v>1.7</v>
      </c>
      <c r="AC120" s="7">
        <v>2</v>
      </c>
      <c r="AD120" s="7">
        <v>12.6</v>
      </c>
    </row>
    <row r="121" spans="1:30" x14ac:dyDescent="0.25">
      <c r="A121" s="5">
        <v>1180</v>
      </c>
      <c r="B121" s="5" t="s">
        <v>180</v>
      </c>
      <c r="C121" s="5">
        <v>25</v>
      </c>
      <c r="D121" s="5" t="s">
        <v>90</v>
      </c>
      <c r="E121" s="5" t="s">
        <v>58</v>
      </c>
      <c r="F121" s="5">
        <v>30</v>
      </c>
      <c r="G121" s="5">
        <v>17</v>
      </c>
      <c r="H121" s="5">
        <v>30.8</v>
      </c>
      <c r="I121" s="5">
        <v>4.9000000000000004</v>
      </c>
      <c r="J121" s="5">
        <v>10</v>
      </c>
      <c r="K121" s="6">
        <f>IFERROR(database_24_25!$I121/database_24_25!$J121,0)</f>
        <v>0.49000000000000005</v>
      </c>
      <c r="L121" s="5">
        <v>1.3</v>
      </c>
      <c r="M121" s="5">
        <v>4.2</v>
      </c>
      <c r="N121" s="6">
        <f>IFERROR(database_24_25!$L121/database_24_25!$M121,0)</f>
        <v>0.30952380952380953</v>
      </c>
      <c r="O121" s="5">
        <v>3.6</v>
      </c>
      <c r="P121" s="5">
        <f>database_24_25!$Q121/10</f>
        <v>5.8</v>
      </c>
      <c r="Q121" s="5">
        <v>58</v>
      </c>
      <c r="R121" s="6">
        <f>IFERROR(database_24_25!$O121/database_24_25!$P121,0)</f>
        <v>0.62068965517241381</v>
      </c>
      <c r="S121" s="5">
        <v>1.4</v>
      </c>
      <c r="T121" s="5">
        <v>1.8</v>
      </c>
      <c r="U121" s="6">
        <f>IFERROR(database_24_25!$S121/database_24_25!$T121,0)</f>
        <v>0.77777777777777768</v>
      </c>
      <c r="V121" s="5">
        <v>0.6</v>
      </c>
      <c r="W121" s="5">
        <v>3.3</v>
      </c>
      <c r="X121" s="5">
        <v>3.9</v>
      </c>
      <c r="Y121" s="5">
        <v>4.8</v>
      </c>
      <c r="Z121" s="5">
        <v>0.8</v>
      </c>
      <c r="AA121" s="5">
        <v>0.5</v>
      </c>
      <c r="AB121" s="5">
        <v>1.3</v>
      </c>
      <c r="AC121" s="5">
        <v>2.2999999999999998</v>
      </c>
      <c r="AD121" s="5">
        <v>12.6</v>
      </c>
    </row>
    <row r="122" spans="1:30" x14ac:dyDescent="0.25">
      <c r="A122" s="7">
        <v>1170</v>
      </c>
      <c r="B122" s="7" t="s">
        <v>179</v>
      </c>
      <c r="C122" s="7">
        <v>28</v>
      </c>
      <c r="D122" s="7" t="s">
        <v>146</v>
      </c>
      <c r="E122" s="7" t="s">
        <v>32</v>
      </c>
      <c r="F122" s="7">
        <v>31</v>
      </c>
      <c r="G122" s="7">
        <v>11</v>
      </c>
      <c r="H122" s="7">
        <v>26.4</v>
      </c>
      <c r="I122" s="7">
        <v>4.5</v>
      </c>
      <c r="J122" s="7">
        <v>10.8</v>
      </c>
      <c r="K122" s="6">
        <f>IFERROR(database_24_25!$I122/database_24_25!$J122,0)</f>
        <v>0.41666666666666663</v>
      </c>
      <c r="L122" s="7">
        <v>1.9</v>
      </c>
      <c r="M122" s="7">
        <v>5.7</v>
      </c>
      <c r="N122" s="6">
        <f>IFERROR(database_24_25!$L122/database_24_25!$M122,0)</f>
        <v>0.33333333333333331</v>
      </c>
      <c r="O122" s="7">
        <v>2.7</v>
      </c>
      <c r="P122" s="5">
        <f>database_24_25!$Q122/10</f>
        <v>5.0999999999999996</v>
      </c>
      <c r="Q122" s="7">
        <v>51</v>
      </c>
      <c r="R122" s="6">
        <f>IFERROR(database_24_25!$O122/database_24_25!$P122,0)</f>
        <v>0.52941176470588247</v>
      </c>
      <c r="S122" s="7">
        <v>1.7</v>
      </c>
      <c r="T122" s="7">
        <v>1.9</v>
      </c>
      <c r="U122" s="6">
        <f>IFERROR(database_24_25!$S122/database_24_25!$T122,0)</f>
        <v>0.89473684210526316</v>
      </c>
      <c r="V122" s="7">
        <v>0.3</v>
      </c>
      <c r="W122" s="7">
        <v>2.5</v>
      </c>
      <c r="X122" s="7">
        <v>2.7</v>
      </c>
      <c r="Y122" s="7">
        <v>5</v>
      </c>
      <c r="Z122" s="7">
        <v>0.8</v>
      </c>
      <c r="AA122" s="7">
        <v>0.2</v>
      </c>
      <c r="AB122" s="7">
        <v>1.7</v>
      </c>
      <c r="AC122" s="7">
        <v>1.9</v>
      </c>
      <c r="AD122" s="7">
        <v>12.6</v>
      </c>
    </row>
    <row r="123" spans="1:30" x14ac:dyDescent="0.25">
      <c r="A123" s="7">
        <v>1220</v>
      </c>
      <c r="B123" s="7" t="s">
        <v>184</v>
      </c>
      <c r="C123" s="7">
        <v>23</v>
      </c>
      <c r="D123" s="7" t="s">
        <v>37</v>
      </c>
      <c r="E123" s="7" t="s">
        <v>35</v>
      </c>
      <c r="F123" s="7">
        <v>11</v>
      </c>
      <c r="G123" s="7">
        <v>8</v>
      </c>
      <c r="H123" s="7">
        <v>19.2</v>
      </c>
      <c r="I123" s="7">
        <v>5.2</v>
      </c>
      <c r="J123" s="7">
        <v>8</v>
      </c>
      <c r="K123" s="6">
        <f>IFERROR(database_24_25!$I123/database_24_25!$J123,0)</f>
        <v>0.65</v>
      </c>
      <c r="L123" s="7">
        <v>0</v>
      </c>
      <c r="M123" s="7">
        <v>0.1</v>
      </c>
      <c r="N123" s="6">
        <f>IFERROR(database_24_25!$L123/database_24_25!$M123,0)</f>
        <v>0</v>
      </c>
      <c r="O123" s="7">
        <v>5.2</v>
      </c>
      <c r="P123" s="5">
        <f>database_24_25!$Q123/10</f>
        <v>7.9</v>
      </c>
      <c r="Q123" s="7">
        <v>79</v>
      </c>
      <c r="R123" s="6">
        <f>IFERROR(database_24_25!$O123/database_24_25!$P123,0)</f>
        <v>0.65822784810126578</v>
      </c>
      <c r="S123" s="7">
        <v>2.2000000000000002</v>
      </c>
      <c r="T123" s="7">
        <v>2.8</v>
      </c>
      <c r="U123" s="6">
        <f>IFERROR(database_24_25!$S123/database_24_25!$T123,0)</f>
        <v>0.78571428571428581</v>
      </c>
      <c r="V123" s="7">
        <v>2.4</v>
      </c>
      <c r="W123" s="7">
        <v>5</v>
      </c>
      <c r="X123" s="7">
        <v>7.4</v>
      </c>
      <c r="Y123" s="7">
        <v>2</v>
      </c>
      <c r="Z123" s="7">
        <v>0.5</v>
      </c>
      <c r="AA123" s="7">
        <v>1</v>
      </c>
      <c r="AB123" s="7">
        <v>0.8</v>
      </c>
      <c r="AC123" s="7">
        <v>2.1</v>
      </c>
      <c r="AD123" s="7">
        <v>12.5</v>
      </c>
    </row>
    <row r="124" spans="1:30" x14ac:dyDescent="0.25">
      <c r="A124" s="7">
        <v>1250</v>
      </c>
      <c r="B124" s="7" t="s">
        <v>187</v>
      </c>
      <c r="C124" s="7">
        <v>25</v>
      </c>
      <c r="D124" s="7" t="s">
        <v>49</v>
      </c>
      <c r="E124" s="7" t="s">
        <v>65</v>
      </c>
      <c r="F124" s="7">
        <v>31</v>
      </c>
      <c r="G124" s="7">
        <v>0</v>
      </c>
      <c r="H124" s="7">
        <v>24.6</v>
      </c>
      <c r="I124" s="7">
        <v>4.5999999999999996</v>
      </c>
      <c r="J124" s="7">
        <v>10.199999999999999</v>
      </c>
      <c r="K124" s="6">
        <f>IFERROR(database_24_25!$I124/database_24_25!$J124,0)</f>
        <v>0.45098039215686275</v>
      </c>
      <c r="L124" s="7">
        <v>1.1000000000000001</v>
      </c>
      <c r="M124" s="7">
        <v>3.8</v>
      </c>
      <c r="N124" s="6">
        <f>IFERROR(database_24_25!$L124/database_24_25!$M124,0)</f>
        <v>0.28947368421052633</v>
      </c>
      <c r="O124" s="7">
        <v>3.5</v>
      </c>
      <c r="P124" s="5">
        <f>database_24_25!$Q124/10</f>
        <v>6.4</v>
      </c>
      <c r="Q124" s="7">
        <v>64</v>
      </c>
      <c r="R124" s="6">
        <f>IFERROR(database_24_25!$O124/database_24_25!$P124,0)</f>
        <v>0.546875</v>
      </c>
      <c r="S124" s="7">
        <v>2</v>
      </c>
      <c r="T124" s="7">
        <v>2.6</v>
      </c>
      <c r="U124" s="6">
        <f>IFERROR(database_24_25!$S124/database_24_25!$T124,0)</f>
        <v>0.76923076923076916</v>
      </c>
      <c r="V124" s="7">
        <v>1.1000000000000001</v>
      </c>
      <c r="W124" s="7">
        <v>3.9</v>
      </c>
      <c r="X124" s="7">
        <v>5</v>
      </c>
      <c r="Y124" s="7">
        <v>1.5</v>
      </c>
      <c r="Z124" s="7">
        <v>0.7</v>
      </c>
      <c r="AA124" s="7">
        <v>0.2</v>
      </c>
      <c r="AB124" s="7">
        <v>0.8</v>
      </c>
      <c r="AC124" s="7">
        <v>1.5</v>
      </c>
      <c r="AD124" s="7">
        <v>12.3</v>
      </c>
    </row>
    <row r="125" spans="1:30" x14ac:dyDescent="0.25">
      <c r="A125" s="7">
        <v>1230</v>
      </c>
      <c r="B125" s="7" t="s">
        <v>185</v>
      </c>
      <c r="C125" s="7">
        <v>32</v>
      </c>
      <c r="D125" s="7" t="s">
        <v>86</v>
      </c>
      <c r="E125" s="7" t="s">
        <v>58</v>
      </c>
      <c r="F125" s="7">
        <v>33</v>
      </c>
      <c r="G125" s="7">
        <v>6</v>
      </c>
      <c r="H125" s="7">
        <v>22.8</v>
      </c>
      <c r="I125" s="7">
        <v>4.4000000000000004</v>
      </c>
      <c r="J125" s="7">
        <v>10.3</v>
      </c>
      <c r="K125" s="6">
        <f>IFERROR(database_24_25!$I125/database_24_25!$J125,0)</f>
        <v>0.42718446601941751</v>
      </c>
      <c r="L125" s="7">
        <v>2.8</v>
      </c>
      <c r="M125" s="7">
        <v>7.1</v>
      </c>
      <c r="N125" s="6">
        <f>IFERROR(database_24_25!$L125/database_24_25!$M125,0)</f>
        <v>0.39436619718309857</v>
      </c>
      <c r="O125" s="7">
        <v>1.6</v>
      </c>
      <c r="P125" s="5">
        <f>database_24_25!$Q125/10</f>
        <v>3.2</v>
      </c>
      <c r="Q125" s="7">
        <v>32</v>
      </c>
      <c r="R125" s="6">
        <f>IFERROR(database_24_25!$O125/database_24_25!$P125,0)</f>
        <v>0.5</v>
      </c>
      <c r="S125" s="7">
        <v>0.7</v>
      </c>
      <c r="T125" s="7">
        <v>0.8</v>
      </c>
      <c r="U125" s="6">
        <f>IFERROR(database_24_25!$S125/database_24_25!$T125,0)</f>
        <v>0.87499999999999989</v>
      </c>
      <c r="V125" s="7">
        <v>0.6</v>
      </c>
      <c r="W125" s="7">
        <v>2.7</v>
      </c>
      <c r="X125" s="7">
        <v>3.3</v>
      </c>
      <c r="Y125" s="7">
        <v>1.2</v>
      </c>
      <c r="Z125" s="7">
        <v>0.8</v>
      </c>
      <c r="AA125" s="7">
        <v>0.3</v>
      </c>
      <c r="AB125" s="7">
        <v>1.2</v>
      </c>
      <c r="AC125" s="7">
        <v>1.9</v>
      </c>
      <c r="AD125" s="7">
        <v>12.3</v>
      </c>
    </row>
    <row r="126" spans="1:30" x14ac:dyDescent="0.25">
      <c r="A126" s="5">
        <v>1240</v>
      </c>
      <c r="B126" s="5" t="s">
        <v>186</v>
      </c>
      <c r="C126" s="5">
        <v>34</v>
      </c>
      <c r="D126" s="5" t="s">
        <v>41</v>
      </c>
      <c r="E126" s="5" t="s">
        <v>32</v>
      </c>
      <c r="F126" s="5">
        <v>29</v>
      </c>
      <c r="G126" s="5">
        <v>29</v>
      </c>
      <c r="H126" s="5">
        <v>30.6</v>
      </c>
      <c r="I126" s="5">
        <v>4.5</v>
      </c>
      <c r="J126" s="5">
        <v>9.8000000000000007</v>
      </c>
      <c r="K126" s="6">
        <f>IFERROR(database_24_25!$I126/database_24_25!$J126,0)</f>
        <v>0.45918367346938771</v>
      </c>
      <c r="L126" s="5">
        <v>1.9</v>
      </c>
      <c r="M126" s="5">
        <v>5.4</v>
      </c>
      <c r="N126" s="6">
        <f>IFERROR(database_24_25!$L126/database_24_25!$M126,0)</f>
        <v>0.3518518518518518</v>
      </c>
      <c r="O126" s="5">
        <v>2.6</v>
      </c>
      <c r="P126" s="5">
        <f>database_24_25!$Q126/10</f>
        <v>4.4000000000000004</v>
      </c>
      <c r="Q126" s="5">
        <v>44</v>
      </c>
      <c r="R126" s="6">
        <f>IFERROR(database_24_25!$O126/database_24_25!$P126,0)</f>
        <v>0.59090909090909083</v>
      </c>
      <c r="S126" s="5">
        <v>1.4</v>
      </c>
      <c r="T126" s="5">
        <v>1.6</v>
      </c>
      <c r="U126" s="6">
        <f>IFERROR(database_24_25!$S126/database_24_25!$T126,0)</f>
        <v>0.87499999999999989</v>
      </c>
      <c r="V126" s="5">
        <v>1.1000000000000001</v>
      </c>
      <c r="W126" s="5">
        <v>3</v>
      </c>
      <c r="X126" s="5">
        <v>4.0999999999999996</v>
      </c>
      <c r="Y126" s="5">
        <v>3.8</v>
      </c>
      <c r="Z126" s="5">
        <v>1</v>
      </c>
      <c r="AA126" s="5">
        <v>0.4</v>
      </c>
      <c r="AB126" s="5">
        <v>1.4</v>
      </c>
      <c r="AC126" s="5">
        <v>1.4</v>
      </c>
      <c r="AD126" s="5">
        <v>12.3</v>
      </c>
    </row>
    <row r="127" spans="1:30" x14ac:dyDescent="0.25">
      <c r="A127" s="7">
        <v>1260</v>
      </c>
      <c r="B127" s="7" t="s">
        <v>188</v>
      </c>
      <c r="C127" s="7">
        <v>26</v>
      </c>
      <c r="D127" s="7" t="s">
        <v>31</v>
      </c>
      <c r="E127" s="7" t="s">
        <v>35</v>
      </c>
      <c r="F127" s="7">
        <v>19</v>
      </c>
      <c r="G127" s="7">
        <v>18</v>
      </c>
      <c r="H127" s="7">
        <v>29.8</v>
      </c>
      <c r="I127" s="7">
        <v>5.2</v>
      </c>
      <c r="J127" s="7">
        <v>9</v>
      </c>
      <c r="K127" s="6">
        <f>IFERROR(database_24_25!$I127/database_24_25!$J127,0)</f>
        <v>0.57777777777777783</v>
      </c>
      <c r="L127" s="7">
        <v>0</v>
      </c>
      <c r="M127" s="7">
        <v>0.4</v>
      </c>
      <c r="N127" s="6">
        <f>IFERROR(database_24_25!$L127/database_24_25!$M127,0)</f>
        <v>0</v>
      </c>
      <c r="O127" s="7">
        <v>5.2</v>
      </c>
      <c r="P127" s="5">
        <f>database_24_25!$Q127/10</f>
        <v>8.6</v>
      </c>
      <c r="Q127" s="7">
        <v>86</v>
      </c>
      <c r="R127" s="6">
        <f>IFERROR(database_24_25!$O127/database_24_25!$P127,0)</f>
        <v>0.60465116279069775</v>
      </c>
      <c r="S127" s="7">
        <v>1.8</v>
      </c>
      <c r="T127" s="7">
        <v>2.8</v>
      </c>
      <c r="U127" s="6">
        <f>IFERROR(database_24_25!$S127/database_24_25!$T127,0)</f>
        <v>0.6428571428571429</v>
      </c>
      <c r="V127" s="7">
        <v>2.7</v>
      </c>
      <c r="W127" s="7">
        <v>9.6</v>
      </c>
      <c r="X127" s="7">
        <v>12.3</v>
      </c>
      <c r="Y127" s="7">
        <v>4.0999999999999996</v>
      </c>
      <c r="Z127" s="7">
        <v>0.8</v>
      </c>
      <c r="AA127" s="7">
        <v>1.3</v>
      </c>
      <c r="AB127" s="7">
        <v>1.8</v>
      </c>
      <c r="AC127" s="7">
        <v>2.9</v>
      </c>
      <c r="AD127" s="7">
        <v>12.2</v>
      </c>
    </row>
    <row r="128" spans="1:30" x14ac:dyDescent="0.25">
      <c r="A128" s="5">
        <v>1270</v>
      </c>
      <c r="B128" s="5" t="s">
        <v>189</v>
      </c>
      <c r="C128" s="5">
        <v>36</v>
      </c>
      <c r="D128" s="5" t="s">
        <v>29</v>
      </c>
      <c r="E128" s="5" t="s">
        <v>35</v>
      </c>
      <c r="F128" s="5">
        <v>32</v>
      </c>
      <c r="G128" s="5">
        <v>32</v>
      </c>
      <c r="H128" s="5">
        <v>32.1</v>
      </c>
      <c r="I128" s="5">
        <v>4.7</v>
      </c>
      <c r="J128" s="5">
        <v>9.5</v>
      </c>
      <c r="K128" s="6">
        <f>IFERROR(database_24_25!$I128/database_24_25!$J128,0)</f>
        <v>0.4947368421052632</v>
      </c>
      <c r="L128" s="5">
        <v>1.8</v>
      </c>
      <c r="M128" s="5">
        <v>5</v>
      </c>
      <c r="N128" s="6">
        <f>IFERROR(database_24_25!$L128/database_24_25!$M128,0)</f>
        <v>0.36</v>
      </c>
      <c r="O128" s="5">
        <v>2.8</v>
      </c>
      <c r="P128" s="5">
        <f>database_24_25!$Q128/10</f>
        <v>4.5</v>
      </c>
      <c r="Q128" s="5">
        <v>45</v>
      </c>
      <c r="R128" s="6">
        <f>IFERROR(database_24_25!$O128/database_24_25!$P128,0)</f>
        <v>0.62222222222222223</v>
      </c>
      <c r="S128" s="5">
        <v>1</v>
      </c>
      <c r="T128" s="5">
        <v>1.3</v>
      </c>
      <c r="U128" s="6">
        <f>IFERROR(database_24_25!$S128/database_24_25!$T128,0)</f>
        <v>0.76923076923076916</v>
      </c>
      <c r="V128" s="5">
        <v>1.2</v>
      </c>
      <c r="W128" s="5">
        <v>3.6</v>
      </c>
      <c r="X128" s="5">
        <v>4.8</v>
      </c>
      <c r="Y128" s="5">
        <v>1.6</v>
      </c>
      <c r="Z128" s="5">
        <v>0.9</v>
      </c>
      <c r="AA128" s="5">
        <v>1.9</v>
      </c>
      <c r="AB128" s="5">
        <v>1.1000000000000001</v>
      </c>
      <c r="AC128" s="5">
        <v>2.2000000000000002</v>
      </c>
      <c r="AD128" s="5">
        <v>12.2</v>
      </c>
    </row>
    <row r="129" spans="1:30" x14ac:dyDescent="0.25">
      <c r="A129" s="5">
        <v>1280</v>
      </c>
      <c r="B129" s="5" t="s">
        <v>190</v>
      </c>
      <c r="C129" s="5">
        <v>30</v>
      </c>
      <c r="D129" s="5" t="s">
        <v>70</v>
      </c>
      <c r="E129" s="5" t="s">
        <v>32</v>
      </c>
      <c r="F129" s="5">
        <v>28</v>
      </c>
      <c r="G129" s="5">
        <v>13</v>
      </c>
      <c r="H129" s="5">
        <v>28.7</v>
      </c>
      <c r="I129" s="5">
        <v>4.4000000000000004</v>
      </c>
      <c r="J129" s="5">
        <v>10.9</v>
      </c>
      <c r="K129" s="6">
        <f>IFERROR(database_24_25!$I129/database_24_25!$J129,0)</f>
        <v>0.40366972477064222</v>
      </c>
      <c r="L129" s="5">
        <v>1.6</v>
      </c>
      <c r="M129" s="5">
        <v>5.2</v>
      </c>
      <c r="N129" s="6">
        <f>IFERROR(database_24_25!$L129/database_24_25!$M129,0)</f>
        <v>0.30769230769230771</v>
      </c>
      <c r="O129" s="5">
        <v>2.7</v>
      </c>
      <c r="P129" s="5">
        <f>database_24_25!$Q129/10</f>
        <v>5.6</v>
      </c>
      <c r="Q129" s="5">
        <v>56</v>
      </c>
      <c r="R129" s="6">
        <f>IFERROR(database_24_25!$O129/database_24_25!$P129,0)</f>
        <v>0.48214285714285721</v>
      </c>
      <c r="S129" s="5">
        <v>1.8</v>
      </c>
      <c r="T129" s="5">
        <v>2</v>
      </c>
      <c r="U129" s="6">
        <f>IFERROR(database_24_25!$S129/database_24_25!$T129,0)</f>
        <v>0.9</v>
      </c>
      <c r="V129" s="5">
        <v>0.7</v>
      </c>
      <c r="W129" s="5">
        <v>3.4</v>
      </c>
      <c r="X129" s="5">
        <v>4.0999999999999996</v>
      </c>
      <c r="Y129" s="5">
        <v>2.9</v>
      </c>
      <c r="Z129" s="5">
        <v>0.6</v>
      </c>
      <c r="AA129" s="5">
        <v>0.4</v>
      </c>
      <c r="AB129" s="5">
        <v>1.5</v>
      </c>
      <c r="AC129" s="5">
        <v>1.5</v>
      </c>
      <c r="AD129" s="5">
        <v>12.2</v>
      </c>
    </row>
    <row r="130" spans="1:30" x14ac:dyDescent="0.25">
      <c r="A130" s="5">
        <v>1290</v>
      </c>
      <c r="B130" s="5" t="s">
        <v>191</v>
      </c>
      <c r="C130" s="5">
        <v>23</v>
      </c>
      <c r="D130" s="5" t="s">
        <v>49</v>
      </c>
      <c r="E130" s="5" t="s">
        <v>65</v>
      </c>
      <c r="F130" s="5">
        <v>34</v>
      </c>
      <c r="G130" s="5">
        <v>26</v>
      </c>
      <c r="H130" s="5">
        <v>27.9</v>
      </c>
      <c r="I130" s="5">
        <v>4.2</v>
      </c>
      <c r="J130" s="5">
        <v>9.6999999999999993</v>
      </c>
      <c r="K130" s="6">
        <f>IFERROR(database_24_25!$I130/database_24_25!$J130,0)</f>
        <v>0.43298969072164956</v>
      </c>
      <c r="L130" s="5">
        <v>2.6</v>
      </c>
      <c r="M130" s="5">
        <v>7</v>
      </c>
      <c r="N130" s="6">
        <f>IFERROR(database_24_25!$L130/database_24_25!$M130,0)</f>
        <v>0.37142857142857144</v>
      </c>
      <c r="O130" s="5">
        <v>1.6</v>
      </c>
      <c r="P130" s="5">
        <f>database_24_25!$Q130/10</f>
        <v>2.7</v>
      </c>
      <c r="Q130" s="5">
        <v>27</v>
      </c>
      <c r="R130" s="6">
        <f>IFERROR(database_24_25!$O130/database_24_25!$P130,0)</f>
        <v>0.59259259259259256</v>
      </c>
      <c r="S130" s="5">
        <v>1.1000000000000001</v>
      </c>
      <c r="T130" s="5">
        <v>1.2</v>
      </c>
      <c r="U130" s="6">
        <f>IFERROR(database_24_25!$S130/database_24_25!$T130,0)</f>
        <v>0.91666666666666674</v>
      </c>
      <c r="V130" s="5">
        <v>0.8</v>
      </c>
      <c r="W130" s="5">
        <v>3.9</v>
      </c>
      <c r="X130" s="5">
        <v>4.7</v>
      </c>
      <c r="Y130" s="5">
        <v>1.3</v>
      </c>
      <c r="Z130" s="5">
        <v>0.8</v>
      </c>
      <c r="AA130" s="5">
        <v>0.6</v>
      </c>
      <c r="AB130" s="5">
        <v>1.1000000000000001</v>
      </c>
      <c r="AC130" s="5">
        <v>1.6</v>
      </c>
      <c r="AD130" s="5">
        <v>12.1</v>
      </c>
    </row>
    <row r="131" spans="1:30" x14ac:dyDescent="0.25">
      <c r="A131" s="7">
        <v>1310</v>
      </c>
      <c r="B131" s="7" t="s">
        <v>193</v>
      </c>
      <c r="C131" s="7">
        <v>26</v>
      </c>
      <c r="D131" s="7" t="s">
        <v>51</v>
      </c>
      <c r="E131" s="7" t="s">
        <v>27</v>
      </c>
      <c r="F131" s="7">
        <v>29</v>
      </c>
      <c r="G131" s="7">
        <v>29</v>
      </c>
      <c r="H131" s="7">
        <v>32.700000000000003</v>
      </c>
      <c r="I131" s="7">
        <v>4.5</v>
      </c>
      <c r="J131" s="7">
        <v>9.3000000000000007</v>
      </c>
      <c r="K131" s="6">
        <f>IFERROR(database_24_25!$I131/database_24_25!$J131,0)</f>
        <v>0.48387096774193544</v>
      </c>
      <c r="L131" s="7">
        <v>1.5</v>
      </c>
      <c r="M131" s="7">
        <v>3.6</v>
      </c>
      <c r="N131" s="6">
        <f>IFERROR(database_24_25!$L131/database_24_25!$M131,0)</f>
        <v>0.41666666666666663</v>
      </c>
      <c r="O131" s="7">
        <v>3</v>
      </c>
      <c r="P131" s="5">
        <f>database_24_25!$Q131/10</f>
        <v>5.8</v>
      </c>
      <c r="Q131" s="7">
        <v>58</v>
      </c>
      <c r="R131" s="6">
        <f>IFERROR(database_24_25!$O131/database_24_25!$P131,0)</f>
        <v>0.51724137931034486</v>
      </c>
      <c r="S131" s="7">
        <v>1.7</v>
      </c>
      <c r="T131" s="7">
        <v>2</v>
      </c>
      <c r="U131" s="6">
        <f>IFERROR(database_24_25!$S131/database_24_25!$T131,0)</f>
        <v>0.85</v>
      </c>
      <c r="V131" s="7">
        <v>1.7</v>
      </c>
      <c r="W131" s="7">
        <v>3.7</v>
      </c>
      <c r="X131" s="7">
        <v>5.4</v>
      </c>
      <c r="Y131" s="7">
        <v>1.6</v>
      </c>
      <c r="Z131" s="7">
        <v>0.9</v>
      </c>
      <c r="AA131" s="7">
        <v>0.7</v>
      </c>
      <c r="AB131" s="7">
        <v>1</v>
      </c>
      <c r="AC131" s="7">
        <v>2</v>
      </c>
      <c r="AD131" s="7">
        <v>12.1</v>
      </c>
    </row>
    <row r="132" spans="1:30" x14ac:dyDescent="0.25">
      <c r="A132" s="5">
        <v>1320</v>
      </c>
      <c r="B132" s="5" t="s">
        <v>194</v>
      </c>
      <c r="C132" s="5">
        <v>36</v>
      </c>
      <c r="D132" s="5" t="s">
        <v>34</v>
      </c>
      <c r="E132" s="5" t="s">
        <v>32</v>
      </c>
      <c r="F132" s="5">
        <v>33</v>
      </c>
      <c r="G132" s="5">
        <v>12</v>
      </c>
      <c r="H132" s="5">
        <v>26.5</v>
      </c>
      <c r="I132" s="5">
        <v>4.5</v>
      </c>
      <c r="J132" s="5">
        <v>9.8000000000000007</v>
      </c>
      <c r="K132" s="6">
        <f>IFERROR(database_24_25!$I132/database_24_25!$J132,0)</f>
        <v>0.45918367346938771</v>
      </c>
      <c r="L132" s="5">
        <v>1.1000000000000001</v>
      </c>
      <c r="M132" s="5">
        <v>3.4</v>
      </c>
      <c r="N132" s="6">
        <f>IFERROR(database_24_25!$L132/database_24_25!$M132,0)</f>
        <v>0.3235294117647059</v>
      </c>
      <c r="O132" s="5">
        <v>3.4</v>
      </c>
      <c r="P132" s="5">
        <f>database_24_25!$Q132/10</f>
        <v>6.4</v>
      </c>
      <c r="Q132" s="5">
        <v>64</v>
      </c>
      <c r="R132" s="6">
        <f>IFERROR(database_24_25!$O132/database_24_25!$P132,0)</f>
        <v>0.53125</v>
      </c>
      <c r="S132" s="5">
        <v>2.1</v>
      </c>
      <c r="T132" s="5">
        <v>3.3</v>
      </c>
      <c r="U132" s="6">
        <f>IFERROR(database_24_25!$S132/database_24_25!$T132,0)</f>
        <v>0.63636363636363646</v>
      </c>
      <c r="V132" s="5">
        <v>1.1000000000000001</v>
      </c>
      <c r="W132" s="5">
        <v>3.5</v>
      </c>
      <c r="X132" s="5">
        <v>4.5</v>
      </c>
      <c r="Y132" s="5">
        <v>6.7</v>
      </c>
      <c r="Z132" s="5">
        <v>1.7</v>
      </c>
      <c r="AA132" s="5">
        <v>0.5</v>
      </c>
      <c r="AB132" s="5">
        <v>2.7</v>
      </c>
      <c r="AC132" s="5">
        <v>2.6</v>
      </c>
      <c r="AD132" s="5">
        <v>12.1</v>
      </c>
    </row>
    <row r="133" spans="1:30" x14ac:dyDescent="0.25">
      <c r="A133" s="7">
        <v>1300</v>
      </c>
      <c r="B133" s="7" t="s">
        <v>192</v>
      </c>
      <c r="C133" s="7">
        <v>22</v>
      </c>
      <c r="D133" s="7" t="s">
        <v>90</v>
      </c>
      <c r="E133" s="7" t="s">
        <v>32</v>
      </c>
      <c r="F133" s="7">
        <v>30</v>
      </c>
      <c r="G133" s="7">
        <v>30</v>
      </c>
      <c r="H133" s="7">
        <v>27.3</v>
      </c>
      <c r="I133" s="7">
        <v>4.5999999999999996</v>
      </c>
      <c r="J133" s="7">
        <v>10.3</v>
      </c>
      <c r="K133" s="6">
        <f>IFERROR(database_24_25!$I133/database_24_25!$J133,0)</f>
        <v>0.44660194174757273</v>
      </c>
      <c r="L133" s="7">
        <v>1.2</v>
      </c>
      <c r="M133" s="7">
        <v>3.9</v>
      </c>
      <c r="N133" s="6">
        <f>IFERROR(database_24_25!$L133/database_24_25!$M133,0)</f>
        <v>0.30769230769230771</v>
      </c>
      <c r="O133" s="7">
        <v>3.4</v>
      </c>
      <c r="P133" s="5">
        <f>database_24_25!$Q133/10</f>
        <v>6.4</v>
      </c>
      <c r="Q133" s="7">
        <v>64</v>
      </c>
      <c r="R133" s="6">
        <f>IFERROR(database_24_25!$O133/database_24_25!$P133,0)</f>
        <v>0.53125</v>
      </c>
      <c r="S133" s="7">
        <v>1.7</v>
      </c>
      <c r="T133" s="7">
        <v>2.2999999999999998</v>
      </c>
      <c r="U133" s="6">
        <f>IFERROR(database_24_25!$S133/database_24_25!$T133,0)</f>
        <v>0.73913043478260876</v>
      </c>
      <c r="V133" s="7">
        <v>1.4</v>
      </c>
      <c r="W133" s="7">
        <v>5.4</v>
      </c>
      <c r="X133" s="7">
        <v>6.9</v>
      </c>
      <c r="Y133" s="7">
        <v>6.8</v>
      </c>
      <c r="Z133" s="7">
        <v>1</v>
      </c>
      <c r="AA133" s="7">
        <v>0.5</v>
      </c>
      <c r="AB133" s="7">
        <v>2.7</v>
      </c>
      <c r="AC133" s="7">
        <v>1.4</v>
      </c>
      <c r="AD133" s="7">
        <v>12.1</v>
      </c>
    </row>
    <row r="134" spans="1:30" x14ac:dyDescent="0.25">
      <c r="A134" s="7">
        <v>1340</v>
      </c>
      <c r="B134" s="7" t="s">
        <v>196</v>
      </c>
      <c r="C134" s="7">
        <v>19</v>
      </c>
      <c r="D134" s="7" t="s">
        <v>94</v>
      </c>
      <c r="E134" s="7" t="s">
        <v>35</v>
      </c>
      <c r="F134" s="7">
        <v>29</v>
      </c>
      <c r="G134" s="7">
        <v>29</v>
      </c>
      <c r="H134" s="7">
        <v>27.2</v>
      </c>
      <c r="I134" s="7">
        <v>4.5</v>
      </c>
      <c r="J134" s="7">
        <v>10.9</v>
      </c>
      <c r="K134" s="6">
        <f>IFERROR(database_24_25!$I134/database_24_25!$J134,0)</f>
        <v>0.41284403669724767</v>
      </c>
      <c r="L134" s="7">
        <v>1.4</v>
      </c>
      <c r="M134" s="7">
        <v>4.5</v>
      </c>
      <c r="N134" s="6">
        <f>IFERROR(database_24_25!$L134/database_24_25!$M134,0)</f>
        <v>0.31111111111111112</v>
      </c>
      <c r="O134" s="7">
        <v>3.1</v>
      </c>
      <c r="P134" s="5">
        <f>database_24_25!$Q134/10</f>
        <v>6.4</v>
      </c>
      <c r="Q134" s="7">
        <v>64</v>
      </c>
      <c r="R134" s="6">
        <f>IFERROR(database_24_25!$O134/database_24_25!$P134,0)</f>
        <v>0.484375</v>
      </c>
      <c r="S134" s="7">
        <v>1.5</v>
      </c>
      <c r="T134" s="7">
        <v>2.2999999999999998</v>
      </c>
      <c r="U134" s="6">
        <f>IFERROR(database_24_25!$S134/database_24_25!$T134,0)</f>
        <v>0.65217391304347827</v>
      </c>
      <c r="V134" s="7">
        <v>1.9</v>
      </c>
      <c r="W134" s="7">
        <v>4.4000000000000004</v>
      </c>
      <c r="X134" s="7">
        <v>6.3</v>
      </c>
      <c r="Y134" s="7">
        <v>2.2999999999999998</v>
      </c>
      <c r="Z134" s="7">
        <v>0.7</v>
      </c>
      <c r="AA134" s="7">
        <v>1.7</v>
      </c>
      <c r="AB134" s="7">
        <v>1.6</v>
      </c>
      <c r="AC134" s="7">
        <v>2.8</v>
      </c>
      <c r="AD134" s="7">
        <v>11.9</v>
      </c>
    </row>
    <row r="135" spans="1:30" x14ac:dyDescent="0.25">
      <c r="A135" s="5">
        <v>1360</v>
      </c>
      <c r="B135" s="5" t="s">
        <v>198</v>
      </c>
      <c r="C135" s="5">
        <v>22</v>
      </c>
      <c r="D135" s="5" t="s">
        <v>110</v>
      </c>
      <c r="E135" s="5" t="s">
        <v>65</v>
      </c>
      <c r="F135" s="5">
        <v>32</v>
      </c>
      <c r="G135" s="5">
        <v>5</v>
      </c>
      <c r="H135" s="5">
        <v>27.8</v>
      </c>
      <c r="I135" s="5">
        <v>4.5999999999999996</v>
      </c>
      <c r="J135" s="5">
        <v>8.3000000000000007</v>
      </c>
      <c r="K135" s="6">
        <f>IFERROR(database_24_25!$I135/database_24_25!$J135,0)</f>
        <v>0.55421686746987942</v>
      </c>
      <c r="L135" s="5">
        <v>0.3</v>
      </c>
      <c r="M135" s="5">
        <v>1.3</v>
      </c>
      <c r="N135" s="6">
        <f>IFERROR(database_24_25!$L135/database_24_25!$M135,0)</f>
        <v>0.23076923076923075</v>
      </c>
      <c r="O135" s="5">
        <v>4.3</v>
      </c>
      <c r="P135" s="5">
        <f>database_24_25!$Q135/10</f>
        <v>7</v>
      </c>
      <c r="Q135" s="5">
        <v>70</v>
      </c>
      <c r="R135" s="6">
        <f>IFERROR(database_24_25!$O135/database_24_25!$P135,0)</f>
        <v>0.61428571428571421</v>
      </c>
      <c r="S135" s="5">
        <v>2.2999999999999998</v>
      </c>
      <c r="T135" s="5">
        <v>3.4</v>
      </c>
      <c r="U135" s="6">
        <f>IFERROR(database_24_25!$S135/database_24_25!$T135,0)</f>
        <v>0.67647058823529405</v>
      </c>
      <c r="V135" s="5">
        <v>2.5</v>
      </c>
      <c r="W135" s="5">
        <v>4.5999999999999996</v>
      </c>
      <c r="X135" s="5">
        <v>7.1</v>
      </c>
      <c r="Y135" s="5">
        <v>2.2000000000000002</v>
      </c>
      <c r="Z135" s="5">
        <v>1.1000000000000001</v>
      </c>
      <c r="AA135" s="5">
        <v>1.1000000000000001</v>
      </c>
      <c r="AB135" s="5">
        <v>1.8</v>
      </c>
      <c r="AC135" s="5">
        <v>2.2999999999999998</v>
      </c>
      <c r="AD135" s="5">
        <v>11.9</v>
      </c>
    </row>
    <row r="136" spans="1:30" x14ac:dyDescent="0.25">
      <c r="A136" s="5">
        <v>1350</v>
      </c>
      <c r="B136" s="5" t="s">
        <v>197</v>
      </c>
      <c r="C136" s="5">
        <v>21</v>
      </c>
      <c r="D136" s="5" t="s">
        <v>110</v>
      </c>
      <c r="E136" s="5" t="s">
        <v>27</v>
      </c>
      <c r="F136" s="5">
        <v>33</v>
      </c>
      <c r="G136" s="5">
        <v>33</v>
      </c>
      <c r="H136" s="5">
        <v>30.9</v>
      </c>
      <c r="I136" s="5">
        <v>4.0999999999999996</v>
      </c>
      <c r="J136" s="5">
        <v>9.5</v>
      </c>
      <c r="K136" s="6">
        <f>IFERROR(database_24_25!$I136/database_24_25!$J136,0)</f>
        <v>0.43157894736842101</v>
      </c>
      <c r="L136" s="5">
        <v>1.7</v>
      </c>
      <c r="M136" s="5">
        <v>4.8</v>
      </c>
      <c r="N136" s="6">
        <f>IFERROR(database_24_25!$L136/database_24_25!$M136,0)</f>
        <v>0.35416666666666669</v>
      </c>
      <c r="O136" s="5">
        <v>2.4</v>
      </c>
      <c r="P136" s="5">
        <f>database_24_25!$Q136/10</f>
        <v>4.7</v>
      </c>
      <c r="Q136" s="5">
        <v>47</v>
      </c>
      <c r="R136" s="6">
        <f>IFERROR(database_24_25!$O136/database_24_25!$P136,0)</f>
        <v>0.51063829787234039</v>
      </c>
      <c r="S136" s="5">
        <v>2</v>
      </c>
      <c r="T136" s="5">
        <v>2.2999999999999998</v>
      </c>
      <c r="U136" s="6">
        <f>IFERROR(database_24_25!$S136/database_24_25!$T136,0)</f>
        <v>0.86956521739130443</v>
      </c>
      <c r="V136" s="5">
        <v>1.8</v>
      </c>
      <c r="W136" s="5">
        <v>4.7</v>
      </c>
      <c r="X136" s="5">
        <v>6.5</v>
      </c>
      <c r="Y136" s="5">
        <v>1</v>
      </c>
      <c r="Z136" s="5">
        <v>0.4</v>
      </c>
      <c r="AA136" s="5">
        <v>1</v>
      </c>
      <c r="AB136" s="5">
        <v>0.9</v>
      </c>
      <c r="AC136" s="5">
        <v>2.2999999999999998</v>
      </c>
      <c r="AD136" s="5">
        <v>11.9</v>
      </c>
    </row>
    <row r="137" spans="1:30" x14ac:dyDescent="0.25">
      <c r="A137" s="7">
        <v>1330</v>
      </c>
      <c r="B137" s="7" t="s">
        <v>195</v>
      </c>
      <c r="C137" s="7">
        <v>26</v>
      </c>
      <c r="D137" s="7" t="s">
        <v>43</v>
      </c>
      <c r="E137" s="7" t="s">
        <v>35</v>
      </c>
      <c r="F137" s="7">
        <v>34</v>
      </c>
      <c r="G137" s="7">
        <v>15</v>
      </c>
      <c r="H137" s="7">
        <v>20.5</v>
      </c>
      <c r="I137" s="7">
        <v>4.9000000000000004</v>
      </c>
      <c r="J137" s="7">
        <v>6.8</v>
      </c>
      <c r="K137" s="6">
        <f>IFERROR(database_24_25!$I137/database_24_25!$J137,0)</f>
        <v>0.72058823529411775</v>
      </c>
      <c r="L137" s="7">
        <v>0</v>
      </c>
      <c r="M137" s="7">
        <v>0</v>
      </c>
      <c r="N137" s="6">
        <f>IFERROR(database_24_25!$L137/database_24_25!$M137,0)</f>
        <v>0</v>
      </c>
      <c r="O137" s="7">
        <v>4.9000000000000004</v>
      </c>
      <c r="P137" s="5">
        <f>database_24_25!$Q137/10</f>
        <v>6.8</v>
      </c>
      <c r="Q137" s="7">
        <v>68</v>
      </c>
      <c r="R137" s="6">
        <f>IFERROR(database_24_25!$O137/database_24_25!$P137,0)</f>
        <v>0.72058823529411775</v>
      </c>
      <c r="S137" s="7">
        <v>2.1</v>
      </c>
      <c r="T137" s="7">
        <v>3.1</v>
      </c>
      <c r="U137" s="6">
        <f>IFERROR(database_24_25!$S137/database_24_25!$T137,0)</f>
        <v>0.67741935483870974</v>
      </c>
      <c r="V137" s="7">
        <v>2.5</v>
      </c>
      <c r="W137" s="7">
        <v>3.7</v>
      </c>
      <c r="X137" s="7">
        <v>6.2</v>
      </c>
      <c r="Y137" s="7">
        <v>1.2</v>
      </c>
      <c r="Z137" s="7">
        <v>0.5</v>
      </c>
      <c r="AA137" s="7">
        <v>1.4</v>
      </c>
      <c r="AB137" s="7">
        <v>1.1000000000000001</v>
      </c>
      <c r="AC137" s="7">
        <v>2.6</v>
      </c>
      <c r="AD137" s="7">
        <v>11.9</v>
      </c>
    </row>
    <row r="138" spans="1:30" x14ac:dyDescent="0.25">
      <c r="A138" s="7">
        <v>1380</v>
      </c>
      <c r="B138" s="7" t="s">
        <v>200</v>
      </c>
      <c r="C138" s="7">
        <v>32</v>
      </c>
      <c r="D138" s="7" t="s">
        <v>94</v>
      </c>
      <c r="E138" s="7" t="s">
        <v>35</v>
      </c>
      <c r="F138" s="7">
        <v>32</v>
      </c>
      <c r="G138" s="7">
        <v>7</v>
      </c>
      <c r="H138" s="7">
        <v>20</v>
      </c>
      <c r="I138" s="7">
        <v>4.9000000000000004</v>
      </c>
      <c r="J138" s="7">
        <v>8.8000000000000007</v>
      </c>
      <c r="K138" s="6">
        <f>IFERROR(database_24_25!$I138/database_24_25!$J138,0)</f>
        <v>0.55681818181818177</v>
      </c>
      <c r="L138" s="7">
        <v>0.1</v>
      </c>
      <c r="M138" s="7">
        <v>0.6</v>
      </c>
      <c r="N138" s="6">
        <f>IFERROR(database_24_25!$L138/database_24_25!$M138,0)</f>
        <v>0.16666666666666669</v>
      </c>
      <c r="O138" s="7">
        <v>4.8</v>
      </c>
      <c r="P138" s="5">
        <f>database_24_25!$Q138/10</f>
        <v>8.1999999999999993</v>
      </c>
      <c r="Q138" s="7">
        <v>82</v>
      </c>
      <c r="R138" s="6">
        <f>IFERROR(database_24_25!$O138/database_24_25!$P138,0)</f>
        <v>0.58536585365853666</v>
      </c>
      <c r="S138" s="7">
        <v>2</v>
      </c>
      <c r="T138" s="7">
        <v>2.2000000000000002</v>
      </c>
      <c r="U138" s="6">
        <f>IFERROR(database_24_25!$S138/database_24_25!$T138,0)</f>
        <v>0.90909090909090906</v>
      </c>
      <c r="V138" s="7">
        <v>2.2999999999999998</v>
      </c>
      <c r="W138" s="7">
        <v>5.7</v>
      </c>
      <c r="X138" s="7">
        <v>8.1</v>
      </c>
      <c r="Y138" s="7">
        <v>2.4</v>
      </c>
      <c r="Z138" s="7">
        <v>0.5</v>
      </c>
      <c r="AA138" s="7">
        <v>0.8</v>
      </c>
      <c r="AB138" s="7">
        <v>1.8</v>
      </c>
      <c r="AC138" s="7">
        <v>1.8</v>
      </c>
      <c r="AD138" s="7">
        <v>11.8</v>
      </c>
    </row>
    <row r="139" spans="1:30" x14ac:dyDescent="0.25">
      <c r="A139" s="5">
        <v>1390</v>
      </c>
      <c r="B139" s="5" t="s">
        <v>201</v>
      </c>
      <c r="C139" s="5">
        <v>21</v>
      </c>
      <c r="D139" s="5" t="s">
        <v>88</v>
      </c>
      <c r="E139" s="5" t="s">
        <v>58</v>
      </c>
      <c r="F139" s="5">
        <v>35</v>
      </c>
      <c r="G139" s="5">
        <v>30</v>
      </c>
      <c r="H139" s="5">
        <v>25.3</v>
      </c>
      <c r="I139" s="5">
        <v>4.3</v>
      </c>
      <c r="J139" s="5">
        <v>9.4</v>
      </c>
      <c r="K139" s="6">
        <f>IFERROR(database_24_25!$I139/database_24_25!$J139,0)</f>
        <v>0.45744680851063824</v>
      </c>
      <c r="L139" s="5">
        <v>2</v>
      </c>
      <c r="M139" s="5">
        <v>5</v>
      </c>
      <c r="N139" s="6">
        <f>IFERROR(database_24_25!$L139/database_24_25!$M139,0)</f>
        <v>0.4</v>
      </c>
      <c r="O139" s="5">
        <v>2.2999999999999998</v>
      </c>
      <c r="P139" s="5">
        <f>database_24_25!$Q139/10</f>
        <v>4.4000000000000004</v>
      </c>
      <c r="Q139" s="5">
        <v>44</v>
      </c>
      <c r="R139" s="6">
        <f>IFERROR(database_24_25!$O139/database_24_25!$P139,0)</f>
        <v>0.5227272727272726</v>
      </c>
      <c r="S139" s="5">
        <v>1.3</v>
      </c>
      <c r="T139" s="5">
        <v>1.6</v>
      </c>
      <c r="U139" s="6">
        <f>IFERROR(database_24_25!$S139/database_24_25!$T139,0)</f>
        <v>0.8125</v>
      </c>
      <c r="V139" s="5">
        <v>1.1000000000000001</v>
      </c>
      <c r="W139" s="5">
        <v>2.2000000000000002</v>
      </c>
      <c r="X139" s="5">
        <v>3.3</v>
      </c>
      <c r="Y139" s="5">
        <v>1.7</v>
      </c>
      <c r="Z139" s="5">
        <v>0.5</v>
      </c>
      <c r="AA139" s="5">
        <v>0.1</v>
      </c>
      <c r="AB139" s="5">
        <v>1.2</v>
      </c>
      <c r="AC139" s="5">
        <v>1.8</v>
      </c>
      <c r="AD139" s="5">
        <v>11.8</v>
      </c>
    </row>
    <row r="140" spans="1:30" x14ac:dyDescent="0.25">
      <c r="A140" s="7">
        <v>1370</v>
      </c>
      <c r="B140" s="7" t="s">
        <v>199</v>
      </c>
      <c r="C140" s="7">
        <v>30</v>
      </c>
      <c r="D140" s="7" t="s">
        <v>79</v>
      </c>
      <c r="E140" s="7" t="s">
        <v>65</v>
      </c>
      <c r="F140" s="7">
        <v>28</v>
      </c>
      <c r="G140" s="7">
        <v>0</v>
      </c>
      <c r="H140" s="7">
        <v>23.9</v>
      </c>
      <c r="I140" s="7">
        <v>4.0999999999999996</v>
      </c>
      <c r="J140" s="7">
        <v>8.1999999999999993</v>
      </c>
      <c r="K140" s="6">
        <f>IFERROR(database_24_25!$I140/database_24_25!$J140,0)</f>
        <v>0.5</v>
      </c>
      <c r="L140" s="7">
        <v>1.8</v>
      </c>
      <c r="M140" s="7">
        <v>4</v>
      </c>
      <c r="N140" s="6">
        <f>IFERROR(database_24_25!$L140/database_24_25!$M140,0)</f>
        <v>0.45</v>
      </c>
      <c r="O140" s="7">
        <v>2.2999999999999998</v>
      </c>
      <c r="P140" s="5">
        <f>database_24_25!$Q140/10</f>
        <v>4.3</v>
      </c>
      <c r="Q140" s="7">
        <v>43</v>
      </c>
      <c r="R140" s="6">
        <f>IFERROR(database_24_25!$O140/database_24_25!$P140,0)</f>
        <v>0.53488372093023251</v>
      </c>
      <c r="S140" s="7">
        <v>1.7</v>
      </c>
      <c r="T140" s="7">
        <v>2.5</v>
      </c>
      <c r="U140" s="6">
        <f>IFERROR(database_24_25!$S140/database_24_25!$T140,0)</f>
        <v>0.67999999999999994</v>
      </c>
      <c r="V140" s="7">
        <v>0.5</v>
      </c>
      <c r="W140" s="7">
        <v>2.2999999999999998</v>
      </c>
      <c r="X140" s="7">
        <v>2.7</v>
      </c>
      <c r="Y140" s="7">
        <v>3.7</v>
      </c>
      <c r="Z140" s="7">
        <v>1</v>
      </c>
      <c r="AA140" s="7">
        <v>0.5</v>
      </c>
      <c r="AB140" s="7">
        <v>1.3</v>
      </c>
      <c r="AC140" s="7">
        <v>1.3</v>
      </c>
      <c r="AD140" s="7">
        <v>11.8</v>
      </c>
    </row>
    <row r="141" spans="1:30" x14ac:dyDescent="0.25">
      <c r="A141" s="7">
        <v>1410</v>
      </c>
      <c r="B141" s="7" t="s">
        <v>203</v>
      </c>
      <c r="C141" s="7">
        <v>24</v>
      </c>
      <c r="D141" s="7" t="s">
        <v>47</v>
      </c>
      <c r="E141" s="7" t="s">
        <v>27</v>
      </c>
      <c r="F141" s="7">
        <v>32</v>
      </c>
      <c r="G141" s="7">
        <v>32</v>
      </c>
      <c r="H141" s="7">
        <v>35.5</v>
      </c>
      <c r="I141" s="7">
        <v>4.5</v>
      </c>
      <c r="J141" s="7">
        <v>10.9</v>
      </c>
      <c r="K141" s="6">
        <f>IFERROR(database_24_25!$I141/database_24_25!$J141,0)</f>
        <v>0.41284403669724767</v>
      </c>
      <c r="L141" s="7">
        <v>1.6</v>
      </c>
      <c r="M141" s="7">
        <v>5.5</v>
      </c>
      <c r="N141" s="6">
        <f>IFERROR(database_24_25!$L141/database_24_25!$M141,0)</f>
        <v>0.29090909090909095</v>
      </c>
      <c r="O141" s="7">
        <v>2.9</v>
      </c>
      <c r="P141" s="5">
        <f>database_24_25!$Q141/10</f>
        <v>5.4</v>
      </c>
      <c r="Q141" s="7">
        <v>54</v>
      </c>
      <c r="R141" s="6">
        <f>IFERROR(database_24_25!$O141/database_24_25!$P141,0)</f>
        <v>0.53703703703703698</v>
      </c>
      <c r="S141" s="7">
        <v>1.1000000000000001</v>
      </c>
      <c r="T141" s="7">
        <v>1.2</v>
      </c>
      <c r="U141" s="6">
        <f>IFERROR(database_24_25!$S141/database_24_25!$T141,0)</f>
        <v>0.91666666666666674</v>
      </c>
      <c r="V141" s="7">
        <v>2.2000000000000002</v>
      </c>
      <c r="W141" s="7">
        <v>5.2</v>
      </c>
      <c r="X141" s="7">
        <v>7.4</v>
      </c>
      <c r="Y141" s="7">
        <v>1.4</v>
      </c>
      <c r="Z141" s="7">
        <v>0.7</v>
      </c>
      <c r="AA141" s="7">
        <v>0.8</v>
      </c>
      <c r="AB141" s="7">
        <v>1</v>
      </c>
      <c r="AC141" s="7">
        <v>2.9</v>
      </c>
      <c r="AD141" s="7">
        <v>11.6</v>
      </c>
    </row>
    <row r="142" spans="1:30" x14ac:dyDescent="0.25">
      <c r="A142" s="5">
        <v>1400</v>
      </c>
      <c r="B142" s="5" t="s">
        <v>202</v>
      </c>
      <c r="C142" s="5">
        <v>23</v>
      </c>
      <c r="D142" s="5" t="s">
        <v>81</v>
      </c>
      <c r="E142" s="5" t="s">
        <v>58</v>
      </c>
      <c r="F142" s="5">
        <v>32</v>
      </c>
      <c r="G142" s="5">
        <v>10</v>
      </c>
      <c r="H142" s="5">
        <v>25.2</v>
      </c>
      <c r="I142" s="5">
        <v>4.3</v>
      </c>
      <c r="J142" s="5">
        <v>9.6</v>
      </c>
      <c r="K142" s="6">
        <f>IFERROR(database_24_25!$I142/database_24_25!$J142,0)</f>
        <v>0.44791666666666669</v>
      </c>
      <c r="L142" s="5">
        <v>1.2</v>
      </c>
      <c r="M142" s="5">
        <v>3.5</v>
      </c>
      <c r="N142" s="6">
        <f>IFERROR(database_24_25!$L142/database_24_25!$M142,0)</f>
        <v>0.34285714285714286</v>
      </c>
      <c r="O142" s="5">
        <v>3.1</v>
      </c>
      <c r="P142" s="5">
        <f>database_24_25!$Q142/10</f>
        <v>6.1</v>
      </c>
      <c r="Q142" s="5">
        <v>61</v>
      </c>
      <c r="R142" s="6">
        <f>IFERROR(database_24_25!$O142/database_24_25!$P142,0)</f>
        <v>0.50819672131147542</v>
      </c>
      <c r="S142" s="5">
        <v>1.7</v>
      </c>
      <c r="T142" s="5">
        <v>2.1</v>
      </c>
      <c r="U142" s="6">
        <f>IFERROR(database_24_25!$S142/database_24_25!$T142,0)</f>
        <v>0.80952380952380942</v>
      </c>
      <c r="V142" s="5">
        <v>0.6</v>
      </c>
      <c r="W142" s="5">
        <v>2.8</v>
      </c>
      <c r="X142" s="5">
        <v>3.4</v>
      </c>
      <c r="Y142" s="5">
        <v>2.7</v>
      </c>
      <c r="Z142" s="5">
        <v>1.4</v>
      </c>
      <c r="AA142" s="5">
        <v>0.3</v>
      </c>
      <c r="AB142" s="5">
        <v>1.3</v>
      </c>
      <c r="AC142" s="5">
        <v>1.8</v>
      </c>
      <c r="AD142" s="5">
        <v>11.6</v>
      </c>
    </row>
    <row r="143" spans="1:30" x14ac:dyDescent="0.25">
      <c r="A143" s="5">
        <v>1420</v>
      </c>
      <c r="B143" s="5" t="s">
        <v>204</v>
      </c>
      <c r="C143" s="5">
        <v>24</v>
      </c>
      <c r="D143" s="5" t="s">
        <v>84</v>
      </c>
      <c r="E143" s="5" t="s">
        <v>35</v>
      </c>
      <c r="F143" s="5">
        <v>28</v>
      </c>
      <c r="G143" s="5">
        <v>0</v>
      </c>
      <c r="H143" s="5">
        <v>23.6</v>
      </c>
      <c r="I143" s="5">
        <v>4.5</v>
      </c>
      <c r="J143" s="5">
        <v>8.1999999999999993</v>
      </c>
      <c r="K143" s="6">
        <f>IFERROR(database_24_25!$I143/database_24_25!$J143,0)</f>
        <v>0.54878048780487809</v>
      </c>
      <c r="L143" s="5">
        <v>0.4</v>
      </c>
      <c r="M143" s="5">
        <v>1.6</v>
      </c>
      <c r="N143" s="6">
        <f>IFERROR(database_24_25!$L143/database_24_25!$M143,0)</f>
        <v>0.25</v>
      </c>
      <c r="O143" s="5">
        <v>4.0999999999999996</v>
      </c>
      <c r="P143" s="5">
        <f>database_24_25!$Q143/10</f>
        <v>6.5</v>
      </c>
      <c r="Q143" s="5">
        <v>65</v>
      </c>
      <c r="R143" s="6">
        <f>IFERROR(database_24_25!$O143/database_24_25!$P143,0)</f>
        <v>0.63076923076923075</v>
      </c>
      <c r="S143" s="5">
        <v>2</v>
      </c>
      <c r="T143" s="5">
        <v>2.6</v>
      </c>
      <c r="U143" s="6">
        <f>IFERROR(database_24_25!$S143/database_24_25!$T143,0)</f>
        <v>0.76923076923076916</v>
      </c>
      <c r="V143" s="5">
        <v>2.6</v>
      </c>
      <c r="W143" s="5">
        <v>4.0999999999999996</v>
      </c>
      <c r="X143" s="5">
        <v>6.7</v>
      </c>
      <c r="Y143" s="5">
        <v>1.4</v>
      </c>
      <c r="Z143" s="5">
        <v>0.7</v>
      </c>
      <c r="AA143" s="5">
        <v>0.7</v>
      </c>
      <c r="AB143" s="5">
        <v>0.8</v>
      </c>
      <c r="AC143" s="5">
        <v>2.2999999999999998</v>
      </c>
      <c r="AD143" s="5">
        <v>11.5</v>
      </c>
    </row>
    <row r="144" spans="1:30" x14ac:dyDescent="0.25">
      <c r="A144" s="7">
        <v>1450</v>
      </c>
      <c r="B144" s="7" t="s">
        <v>207</v>
      </c>
      <c r="C144" s="7">
        <v>25</v>
      </c>
      <c r="D144" s="7" t="s">
        <v>94</v>
      </c>
      <c r="E144" s="7" t="s">
        <v>65</v>
      </c>
      <c r="F144" s="7">
        <v>27</v>
      </c>
      <c r="G144" s="7">
        <v>0</v>
      </c>
      <c r="H144" s="7">
        <v>26.8</v>
      </c>
      <c r="I144" s="7">
        <v>4.0999999999999996</v>
      </c>
      <c r="J144" s="7">
        <v>9.4</v>
      </c>
      <c r="K144" s="6">
        <f>IFERROR(database_24_25!$I144/database_24_25!$J144,0)</f>
        <v>0.43617021276595741</v>
      </c>
      <c r="L144" s="7">
        <v>2</v>
      </c>
      <c r="M144" s="7">
        <v>5.7</v>
      </c>
      <c r="N144" s="6">
        <f>IFERROR(database_24_25!$L144/database_24_25!$M144,0)</f>
        <v>0.35087719298245612</v>
      </c>
      <c r="O144" s="7">
        <v>2.1</v>
      </c>
      <c r="P144" s="5">
        <f>database_24_25!$Q144/10</f>
        <v>3.7</v>
      </c>
      <c r="Q144" s="7">
        <v>37</v>
      </c>
      <c r="R144" s="6">
        <f>IFERROR(database_24_25!$O144/database_24_25!$P144,0)</f>
        <v>0.56756756756756754</v>
      </c>
      <c r="S144" s="7">
        <v>1</v>
      </c>
      <c r="T144" s="7">
        <v>1.2</v>
      </c>
      <c r="U144" s="6">
        <f>IFERROR(database_24_25!$S144/database_24_25!$T144,0)</f>
        <v>0.83333333333333337</v>
      </c>
      <c r="V144" s="7">
        <v>0.5</v>
      </c>
      <c r="W144" s="7">
        <v>2.7</v>
      </c>
      <c r="X144" s="7">
        <v>3.1</v>
      </c>
      <c r="Y144" s="7">
        <v>1.6</v>
      </c>
      <c r="Z144" s="7">
        <v>0.5</v>
      </c>
      <c r="AA144" s="7">
        <v>0.2</v>
      </c>
      <c r="AB144" s="7">
        <v>1.1000000000000001</v>
      </c>
      <c r="AC144" s="7">
        <v>1.7</v>
      </c>
      <c r="AD144" s="7">
        <v>11.3</v>
      </c>
    </row>
    <row r="145" spans="1:30" x14ac:dyDescent="0.25">
      <c r="A145" s="5">
        <v>1440</v>
      </c>
      <c r="B145" s="5" t="s">
        <v>206</v>
      </c>
      <c r="C145" s="5">
        <v>20</v>
      </c>
      <c r="D145" s="5" t="s">
        <v>124</v>
      </c>
      <c r="E145" s="5" t="s">
        <v>32</v>
      </c>
      <c r="F145" s="5">
        <v>26</v>
      </c>
      <c r="G145" s="5">
        <v>3</v>
      </c>
      <c r="H145" s="5">
        <v>26</v>
      </c>
      <c r="I145" s="5">
        <v>4</v>
      </c>
      <c r="J145" s="5">
        <v>9.9</v>
      </c>
      <c r="K145" s="6">
        <f>IFERROR(database_24_25!$I145/database_24_25!$J145,0)</f>
        <v>0.40404040404040403</v>
      </c>
      <c r="L145" s="5">
        <v>1.1000000000000001</v>
      </c>
      <c r="M145" s="5">
        <v>3.5</v>
      </c>
      <c r="N145" s="6">
        <f>IFERROR(database_24_25!$L145/database_24_25!$M145,0)</f>
        <v>0.31428571428571433</v>
      </c>
      <c r="O145" s="5">
        <v>2.9</v>
      </c>
      <c r="P145" s="5">
        <f>database_24_25!$Q145/10</f>
        <v>6.4</v>
      </c>
      <c r="Q145" s="5">
        <v>64</v>
      </c>
      <c r="R145" s="6">
        <f>IFERROR(database_24_25!$O145/database_24_25!$P145,0)</f>
        <v>0.45312499999999994</v>
      </c>
      <c r="S145" s="5">
        <v>2.2000000000000002</v>
      </c>
      <c r="T145" s="5">
        <v>3</v>
      </c>
      <c r="U145" s="6">
        <f>IFERROR(database_24_25!$S145/database_24_25!$T145,0)</f>
        <v>0.73333333333333339</v>
      </c>
      <c r="V145" s="5">
        <v>0.7</v>
      </c>
      <c r="W145" s="5">
        <v>2.2000000000000002</v>
      </c>
      <c r="X145" s="5">
        <v>2.8</v>
      </c>
      <c r="Y145" s="5">
        <v>5.2</v>
      </c>
      <c r="Z145" s="5">
        <v>1.2</v>
      </c>
      <c r="AA145" s="5">
        <v>0.3</v>
      </c>
      <c r="AB145" s="5">
        <v>2.7</v>
      </c>
      <c r="AC145" s="5">
        <v>2.8</v>
      </c>
      <c r="AD145" s="5">
        <v>11.3</v>
      </c>
    </row>
    <row r="146" spans="1:30" x14ac:dyDescent="0.25">
      <c r="A146" s="7">
        <v>1430</v>
      </c>
      <c r="B146" s="7" t="s">
        <v>205</v>
      </c>
      <c r="C146" s="7">
        <v>23</v>
      </c>
      <c r="D146" s="7" t="s">
        <v>110</v>
      </c>
      <c r="E146" s="7" t="s">
        <v>27</v>
      </c>
      <c r="F146" s="7">
        <v>24</v>
      </c>
      <c r="G146" s="7">
        <v>0</v>
      </c>
      <c r="H146" s="7">
        <v>22.8</v>
      </c>
      <c r="I146" s="7">
        <v>4.4000000000000004</v>
      </c>
      <c r="J146" s="7">
        <v>9.1999999999999993</v>
      </c>
      <c r="K146" s="6">
        <f>IFERROR(database_24_25!$I146/database_24_25!$J146,0)</f>
        <v>0.47826086956521746</v>
      </c>
      <c r="L146" s="7">
        <v>1</v>
      </c>
      <c r="M146" s="7">
        <v>3</v>
      </c>
      <c r="N146" s="6">
        <f>IFERROR(database_24_25!$L146/database_24_25!$M146,0)</f>
        <v>0.33333333333333331</v>
      </c>
      <c r="O146" s="7">
        <v>3.4</v>
      </c>
      <c r="P146" s="5">
        <f>database_24_25!$Q146/10</f>
        <v>6.2</v>
      </c>
      <c r="Q146" s="7">
        <v>62</v>
      </c>
      <c r="R146" s="6">
        <f>IFERROR(database_24_25!$O146/database_24_25!$P146,0)</f>
        <v>0.54838709677419351</v>
      </c>
      <c r="S146" s="7">
        <v>1.5</v>
      </c>
      <c r="T146" s="7">
        <v>2</v>
      </c>
      <c r="U146" s="6">
        <f>IFERROR(database_24_25!$S146/database_24_25!$T146,0)</f>
        <v>0.75</v>
      </c>
      <c r="V146" s="7">
        <v>2.1</v>
      </c>
      <c r="W146" s="7">
        <v>4.2</v>
      </c>
      <c r="X146" s="7">
        <v>6.3</v>
      </c>
      <c r="Y146" s="7">
        <v>1</v>
      </c>
      <c r="Z146" s="7">
        <v>1.9</v>
      </c>
      <c r="AA146" s="7">
        <v>1</v>
      </c>
      <c r="AB146" s="7">
        <v>0.8</v>
      </c>
      <c r="AC146" s="7">
        <v>2.5</v>
      </c>
      <c r="AD146" s="7">
        <v>11.3</v>
      </c>
    </row>
    <row r="147" spans="1:30" x14ac:dyDescent="0.25">
      <c r="A147" s="5">
        <v>1460</v>
      </c>
      <c r="B147" s="5" t="s">
        <v>208</v>
      </c>
      <c r="C147" s="5">
        <v>24</v>
      </c>
      <c r="D147" s="5" t="s">
        <v>77</v>
      </c>
      <c r="E147" s="5" t="s">
        <v>58</v>
      </c>
      <c r="F147" s="5">
        <v>35</v>
      </c>
      <c r="G147" s="5">
        <v>33</v>
      </c>
      <c r="H147" s="5">
        <v>30.2</v>
      </c>
      <c r="I147" s="5">
        <v>4.5</v>
      </c>
      <c r="J147" s="5">
        <v>8.8000000000000007</v>
      </c>
      <c r="K147" s="6">
        <f>IFERROR(database_24_25!$I147/database_24_25!$J147,0)</f>
        <v>0.51136363636363635</v>
      </c>
      <c r="L147" s="5">
        <v>1.7</v>
      </c>
      <c r="M147" s="5">
        <v>4.0999999999999996</v>
      </c>
      <c r="N147" s="6">
        <f>IFERROR(database_24_25!$L147/database_24_25!$M147,0)</f>
        <v>0.41463414634146345</v>
      </c>
      <c r="O147" s="5">
        <v>2.8</v>
      </c>
      <c r="P147" s="5">
        <f>database_24_25!$Q147/10</f>
        <v>4.8</v>
      </c>
      <c r="Q147" s="5">
        <v>48</v>
      </c>
      <c r="R147" s="6">
        <f>IFERROR(database_24_25!$O147/database_24_25!$P147,0)</f>
        <v>0.58333333333333337</v>
      </c>
      <c r="S147" s="5">
        <v>0.5</v>
      </c>
      <c r="T147" s="5">
        <v>0.8</v>
      </c>
      <c r="U147" s="6">
        <f>IFERROR(database_24_25!$S147/database_24_25!$T147,0)</f>
        <v>0.625</v>
      </c>
      <c r="V147" s="5">
        <v>0.9</v>
      </c>
      <c r="W147" s="5">
        <v>2.9</v>
      </c>
      <c r="X147" s="5">
        <v>3.9</v>
      </c>
      <c r="Y147" s="5">
        <v>1.8</v>
      </c>
      <c r="Z147" s="5">
        <v>0.8</v>
      </c>
      <c r="AA147" s="5">
        <v>0.5</v>
      </c>
      <c r="AB147" s="5">
        <v>0.9</v>
      </c>
      <c r="AC147" s="5">
        <v>2.2999999999999998</v>
      </c>
      <c r="AD147" s="5">
        <v>11.2</v>
      </c>
    </row>
    <row r="148" spans="1:30" x14ac:dyDescent="0.25">
      <c r="A148" s="7">
        <v>1470</v>
      </c>
      <c r="B148" s="7" t="s">
        <v>209</v>
      </c>
      <c r="C148" s="7">
        <v>22</v>
      </c>
      <c r="D148" s="7" t="s">
        <v>81</v>
      </c>
      <c r="E148" s="7" t="s">
        <v>58</v>
      </c>
      <c r="F148" s="7">
        <v>19</v>
      </c>
      <c r="G148" s="7">
        <v>3</v>
      </c>
      <c r="H148" s="7">
        <v>24.1</v>
      </c>
      <c r="I148" s="7">
        <v>3.6</v>
      </c>
      <c r="J148" s="7">
        <v>10.3</v>
      </c>
      <c r="K148" s="6">
        <f>IFERROR(database_24_25!$I148/database_24_25!$J148,0)</f>
        <v>0.34951456310679613</v>
      </c>
      <c r="L148" s="7">
        <v>1.9</v>
      </c>
      <c r="M148" s="7">
        <v>5.8</v>
      </c>
      <c r="N148" s="6">
        <f>IFERROR(database_24_25!$L148/database_24_25!$M148,0)</f>
        <v>0.32758620689655171</v>
      </c>
      <c r="O148" s="7">
        <v>1.7</v>
      </c>
      <c r="P148" s="5">
        <f>database_24_25!$Q148/10</f>
        <v>4.5</v>
      </c>
      <c r="Q148" s="7">
        <v>45</v>
      </c>
      <c r="R148" s="6">
        <f>IFERROR(database_24_25!$O148/database_24_25!$P148,0)</f>
        <v>0.37777777777777777</v>
      </c>
      <c r="S148" s="7">
        <v>2</v>
      </c>
      <c r="T148" s="7">
        <v>2.2999999999999998</v>
      </c>
      <c r="U148" s="6">
        <f>IFERROR(database_24_25!$S148/database_24_25!$T148,0)</f>
        <v>0.86956521739130443</v>
      </c>
      <c r="V148" s="7">
        <v>0.4</v>
      </c>
      <c r="W148" s="7">
        <v>2.6</v>
      </c>
      <c r="X148" s="7">
        <v>2.9</v>
      </c>
      <c r="Y148" s="7">
        <v>1.1000000000000001</v>
      </c>
      <c r="Z148" s="7">
        <v>0.4</v>
      </c>
      <c r="AA148" s="7">
        <v>0.6</v>
      </c>
      <c r="AB148" s="7">
        <v>0.9</v>
      </c>
      <c r="AC148" s="7">
        <v>0.8</v>
      </c>
      <c r="AD148" s="7">
        <v>11.2</v>
      </c>
    </row>
    <row r="149" spans="1:30" x14ac:dyDescent="0.25">
      <c r="A149" s="5">
        <v>1480</v>
      </c>
      <c r="B149" s="5" t="s">
        <v>210</v>
      </c>
      <c r="C149" s="5">
        <v>30</v>
      </c>
      <c r="D149" s="5" t="s">
        <v>70</v>
      </c>
      <c r="E149" s="5" t="s">
        <v>65</v>
      </c>
      <c r="F149" s="5">
        <v>30</v>
      </c>
      <c r="G149" s="5">
        <v>19</v>
      </c>
      <c r="H149" s="5">
        <v>23.4</v>
      </c>
      <c r="I149" s="5">
        <v>4</v>
      </c>
      <c r="J149" s="5">
        <v>9.5</v>
      </c>
      <c r="K149" s="6">
        <f>IFERROR(database_24_25!$I149/database_24_25!$J149,0)</f>
        <v>0.42105263157894735</v>
      </c>
      <c r="L149" s="5">
        <v>2.5</v>
      </c>
      <c r="M149" s="5">
        <v>6.6</v>
      </c>
      <c r="N149" s="6">
        <f>IFERROR(database_24_25!$L149/database_24_25!$M149,0)</f>
        <v>0.37878787878787878</v>
      </c>
      <c r="O149" s="5">
        <v>1.5</v>
      </c>
      <c r="P149" s="5">
        <f>database_24_25!$Q149/10</f>
        <v>2.9</v>
      </c>
      <c r="Q149" s="5">
        <v>29</v>
      </c>
      <c r="R149" s="6">
        <f>IFERROR(database_24_25!$O149/database_24_25!$P149,0)</f>
        <v>0.51724137931034486</v>
      </c>
      <c r="S149" s="5">
        <v>0.6</v>
      </c>
      <c r="T149" s="5">
        <v>0.7</v>
      </c>
      <c r="U149" s="6">
        <f>IFERROR(database_24_25!$S149/database_24_25!$T149,0)</f>
        <v>0.85714285714285721</v>
      </c>
      <c r="V149" s="5">
        <v>0.3</v>
      </c>
      <c r="W149" s="5">
        <v>2</v>
      </c>
      <c r="X149" s="5">
        <v>2.4</v>
      </c>
      <c r="Y149" s="5">
        <v>2.6</v>
      </c>
      <c r="Z149" s="5">
        <v>0.5</v>
      </c>
      <c r="AA149" s="5">
        <v>0.1</v>
      </c>
      <c r="AB149" s="5">
        <v>0.9</v>
      </c>
      <c r="AC149" s="5">
        <v>2.1</v>
      </c>
      <c r="AD149" s="5">
        <v>11.2</v>
      </c>
    </row>
    <row r="150" spans="1:30" x14ac:dyDescent="0.25">
      <c r="A150" s="7">
        <v>1490</v>
      </c>
      <c r="B150" s="7" t="s">
        <v>211</v>
      </c>
      <c r="C150" s="7">
        <v>22</v>
      </c>
      <c r="D150" s="7" t="s">
        <v>88</v>
      </c>
      <c r="E150" s="7" t="s">
        <v>35</v>
      </c>
      <c r="F150" s="7">
        <v>21</v>
      </c>
      <c r="G150" s="7">
        <v>14</v>
      </c>
      <c r="H150" s="7">
        <v>21.9</v>
      </c>
      <c r="I150" s="7">
        <v>4.5999999999999996</v>
      </c>
      <c r="J150" s="7">
        <v>7.8</v>
      </c>
      <c r="K150" s="6">
        <f>IFERROR(database_24_25!$I150/database_24_25!$J150,0)</f>
        <v>0.58974358974358976</v>
      </c>
      <c r="L150" s="7">
        <v>0.4</v>
      </c>
      <c r="M150" s="7">
        <v>1</v>
      </c>
      <c r="N150" s="6">
        <f>IFERROR(database_24_25!$L150/database_24_25!$M150,0)</f>
        <v>0.4</v>
      </c>
      <c r="O150" s="7">
        <v>4.2</v>
      </c>
      <c r="P150" s="5">
        <f>database_24_25!$Q150/10</f>
        <v>6.8</v>
      </c>
      <c r="Q150" s="7">
        <v>68</v>
      </c>
      <c r="R150" s="6">
        <f>IFERROR(database_24_25!$O150/database_24_25!$P150,0)</f>
        <v>0.61764705882352944</v>
      </c>
      <c r="S150" s="7">
        <v>1.5</v>
      </c>
      <c r="T150" s="7">
        <v>2.2999999999999998</v>
      </c>
      <c r="U150" s="6">
        <f>IFERROR(database_24_25!$S150/database_24_25!$T150,0)</f>
        <v>0.65217391304347827</v>
      </c>
      <c r="V150" s="7">
        <v>3.7</v>
      </c>
      <c r="W150" s="7">
        <v>4.3</v>
      </c>
      <c r="X150" s="7">
        <v>8</v>
      </c>
      <c r="Y150" s="7">
        <v>1</v>
      </c>
      <c r="Z150" s="7">
        <v>0.8</v>
      </c>
      <c r="AA150" s="7">
        <v>1.1000000000000001</v>
      </c>
      <c r="AB150" s="7">
        <v>1.6</v>
      </c>
      <c r="AC150" s="7">
        <v>2.9</v>
      </c>
      <c r="AD150" s="7">
        <v>11.1</v>
      </c>
    </row>
    <row r="151" spans="1:30" x14ac:dyDescent="0.25">
      <c r="A151" s="7">
        <v>1520</v>
      </c>
      <c r="B151" s="7" t="s">
        <v>214</v>
      </c>
      <c r="C151" s="7">
        <v>23</v>
      </c>
      <c r="D151" s="7" t="s">
        <v>94</v>
      </c>
      <c r="E151" s="7" t="s">
        <v>65</v>
      </c>
      <c r="F151" s="7">
        <v>15</v>
      </c>
      <c r="G151" s="7">
        <v>12</v>
      </c>
      <c r="H151" s="7">
        <v>25.7</v>
      </c>
      <c r="I151" s="7">
        <v>4.4000000000000004</v>
      </c>
      <c r="J151" s="7">
        <v>7.9</v>
      </c>
      <c r="K151" s="6">
        <f>IFERROR(database_24_25!$I151/database_24_25!$J151,0)</f>
        <v>0.55696202531645567</v>
      </c>
      <c r="L151" s="7">
        <v>1.5</v>
      </c>
      <c r="M151" s="7">
        <v>3.7</v>
      </c>
      <c r="N151" s="6">
        <f>IFERROR(database_24_25!$L151/database_24_25!$M151,0)</f>
        <v>0.40540540540540537</v>
      </c>
      <c r="O151" s="7">
        <v>2.9</v>
      </c>
      <c r="P151" s="5">
        <f>database_24_25!$Q151/10</f>
        <v>4.2</v>
      </c>
      <c r="Q151" s="7">
        <v>42</v>
      </c>
      <c r="R151" s="6">
        <f>IFERROR(database_24_25!$O151/database_24_25!$P151,0)</f>
        <v>0.69047619047619047</v>
      </c>
      <c r="S151" s="7">
        <v>0.7</v>
      </c>
      <c r="T151" s="7">
        <v>1.1000000000000001</v>
      </c>
      <c r="U151" s="6">
        <f>IFERROR(database_24_25!$S151/database_24_25!$T151,0)</f>
        <v>0.63636363636363624</v>
      </c>
      <c r="V151" s="7">
        <v>2.2000000000000002</v>
      </c>
      <c r="W151" s="7">
        <v>4.5</v>
      </c>
      <c r="X151" s="7">
        <v>6.7</v>
      </c>
      <c r="Y151" s="7">
        <v>1.1000000000000001</v>
      </c>
      <c r="Z151" s="7">
        <v>1.3</v>
      </c>
      <c r="AA151" s="7">
        <v>0.8</v>
      </c>
      <c r="AB151" s="7">
        <v>1.3</v>
      </c>
      <c r="AC151" s="7">
        <v>2.5</v>
      </c>
      <c r="AD151" s="7">
        <v>10.9</v>
      </c>
    </row>
    <row r="152" spans="1:30" x14ac:dyDescent="0.25">
      <c r="A152" s="7">
        <v>1510</v>
      </c>
      <c r="B152" s="7" t="s">
        <v>213</v>
      </c>
      <c r="C152" s="7">
        <v>20</v>
      </c>
      <c r="D152" s="7" t="s">
        <v>49</v>
      </c>
      <c r="E152" s="7" t="s">
        <v>32</v>
      </c>
      <c r="F152" s="7">
        <v>33</v>
      </c>
      <c r="G152" s="7">
        <v>18</v>
      </c>
      <c r="H152" s="7">
        <v>25.1</v>
      </c>
      <c r="I152" s="7">
        <v>3.8</v>
      </c>
      <c r="J152" s="7">
        <v>9.9</v>
      </c>
      <c r="K152" s="6">
        <f>IFERROR(database_24_25!$I152/database_24_25!$J152,0)</f>
        <v>0.38383838383838381</v>
      </c>
      <c r="L152" s="7">
        <v>1</v>
      </c>
      <c r="M152" s="7">
        <v>3.7</v>
      </c>
      <c r="N152" s="6">
        <f>IFERROR(database_24_25!$L152/database_24_25!$M152,0)</f>
        <v>0.27027027027027023</v>
      </c>
      <c r="O152" s="7">
        <v>2.9</v>
      </c>
      <c r="P152" s="5">
        <f>database_24_25!$Q152/10</f>
        <v>6.2</v>
      </c>
      <c r="Q152" s="7">
        <v>62</v>
      </c>
      <c r="R152" s="6">
        <f>IFERROR(database_24_25!$O152/database_24_25!$P152,0)</f>
        <v>0.46774193548387094</v>
      </c>
      <c r="S152" s="7">
        <v>2.2000000000000002</v>
      </c>
      <c r="T152" s="7">
        <v>3.2</v>
      </c>
      <c r="U152" s="6">
        <f>IFERROR(database_24_25!$S152/database_24_25!$T152,0)</f>
        <v>0.6875</v>
      </c>
      <c r="V152" s="7">
        <v>0.6</v>
      </c>
      <c r="W152" s="7">
        <v>1.9</v>
      </c>
      <c r="X152" s="7">
        <v>2.5</v>
      </c>
      <c r="Y152" s="7">
        <v>3.6</v>
      </c>
      <c r="Z152" s="7">
        <v>0.8</v>
      </c>
      <c r="AA152" s="7">
        <v>0.3</v>
      </c>
      <c r="AB152" s="7">
        <v>1.8</v>
      </c>
      <c r="AC152" s="7">
        <v>1.7</v>
      </c>
      <c r="AD152" s="7">
        <v>10.9</v>
      </c>
    </row>
    <row r="153" spans="1:30" x14ac:dyDescent="0.25">
      <c r="A153" s="5">
        <v>1530</v>
      </c>
      <c r="B153" s="5" t="s">
        <v>215</v>
      </c>
      <c r="C153" s="5">
        <v>27</v>
      </c>
      <c r="D153" s="5" t="s">
        <v>43</v>
      </c>
      <c r="E153" s="5" t="s">
        <v>65</v>
      </c>
      <c r="F153" s="5">
        <v>26</v>
      </c>
      <c r="G153" s="5">
        <v>8</v>
      </c>
      <c r="H153" s="5">
        <v>23.2</v>
      </c>
      <c r="I153" s="5">
        <v>4.3</v>
      </c>
      <c r="J153" s="5">
        <v>8.1999999999999993</v>
      </c>
      <c r="K153" s="6">
        <f>IFERROR(database_24_25!$I153/database_24_25!$J153,0)</f>
        <v>0.52439024390243905</v>
      </c>
      <c r="L153" s="5">
        <v>0.8</v>
      </c>
      <c r="M153" s="5">
        <v>2.4</v>
      </c>
      <c r="N153" s="6">
        <f>IFERROR(database_24_25!$L153/database_24_25!$M153,0)</f>
        <v>0.33333333333333337</v>
      </c>
      <c r="O153" s="5">
        <v>3.6</v>
      </c>
      <c r="P153" s="5">
        <f>database_24_25!$Q153/10</f>
        <v>5.8</v>
      </c>
      <c r="Q153" s="5">
        <v>58</v>
      </c>
      <c r="R153" s="6">
        <f>IFERROR(database_24_25!$O153/database_24_25!$P153,0)</f>
        <v>0.62068965517241381</v>
      </c>
      <c r="S153" s="5">
        <v>1.4</v>
      </c>
      <c r="T153" s="5">
        <v>1.6</v>
      </c>
      <c r="U153" s="6">
        <f>IFERROR(database_24_25!$S153/database_24_25!$T153,0)</f>
        <v>0.87499999999999989</v>
      </c>
      <c r="V153" s="5">
        <v>0.9</v>
      </c>
      <c r="W153" s="5">
        <v>2.2999999999999998</v>
      </c>
      <c r="X153" s="5">
        <v>3.3</v>
      </c>
      <c r="Y153" s="5">
        <v>2.2000000000000002</v>
      </c>
      <c r="Z153" s="5">
        <v>0.8</v>
      </c>
      <c r="AA153" s="5">
        <v>0.1</v>
      </c>
      <c r="AB153" s="5">
        <v>1.3</v>
      </c>
      <c r="AC153" s="5">
        <v>1.4</v>
      </c>
      <c r="AD153" s="5">
        <v>10.9</v>
      </c>
    </row>
    <row r="154" spans="1:30" x14ac:dyDescent="0.25">
      <c r="A154" s="5">
        <v>1500</v>
      </c>
      <c r="B154" s="5" t="s">
        <v>212</v>
      </c>
      <c r="C154" s="5">
        <v>32</v>
      </c>
      <c r="D154" s="5" t="s">
        <v>84</v>
      </c>
      <c r="E154" s="5" t="s">
        <v>58</v>
      </c>
      <c r="F154" s="5">
        <v>15</v>
      </c>
      <c r="G154" s="5">
        <v>0</v>
      </c>
      <c r="H154" s="5">
        <v>25.3</v>
      </c>
      <c r="I154" s="5">
        <v>3.7</v>
      </c>
      <c r="J154" s="5">
        <v>9.3000000000000007</v>
      </c>
      <c r="K154" s="6">
        <f>IFERROR(database_24_25!$I154/database_24_25!$J154,0)</f>
        <v>0.39784946236559138</v>
      </c>
      <c r="L154" s="5">
        <v>2.1</v>
      </c>
      <c r="M154" s="5">
        <v>6.2</v>
      </c>
      <c r="N154" s="6">
        <f>IFERROR(database_24_25!$L154/database_24_25!$M154,0)</f>
        <v>0.33870967741935487</v>
      </c>
      <c r="O154" s="5">
        <v>1.7</v>
      </c>
      <c r="P154" s="5">
        <f>database_24_25!$Q154/10</f>
        <v>3.1</v>
      </c>
      <c r="Q154" s="5">
        <v>31</v>
      </c>
      <c r="R154" s="6">
        <f>IFERROR(database_24_25!$O154/database_24_25!$P154,0)</f>
        <v>0.54838709677419351</v>
      </c>
      <c r="S154" s="5">
        <v>1.3</v>
      </c>
      <c r="T154" s="5">
        <v>1.4</v>
      </c>
      <c r="U154" s="6">
        <f>IFERROR(database_24_25!$S154/database_24_25!$T154,0)</f>
        <v>0.92857142857142871</v>
      </c>
      <c r="V154" s="5">
        <v>0.6</v>
      </c>
      <c r="W154" s="5">
        <v>2.5</v>
      </c>
      <c r="X154" s="5">
        <v>3.1</v>
      </c>
      <c r="Y154" s="5">
        <v>2.2999999999999998</v>
      </c>
      <c r="Z154" s="5">
        <v>1</v>
      </c>
      <c r="AA154" s="5">
        <v>0.3</v>
      </c>
      <c r="AB154" s="5">
        <v>1.7</v>
      </c>
      <c r="AC154" s="5">
        <v>2.5</v>
      </c>
      <c r="AD154" s="5">
        <v>10.9</v>
      </c>
    </row>
    <row r="155" spans="1:30" x14ac:dyDescent="0.25">
      <c r="A155" s="5">
        <v>1540</v>
      </c>
      <c r="B155" s="5" t="s">
        <v>216</v>
      </c>
      <c r="C155" s="5">
        <v>26</v>
      </c>
      <c r="D155" s="5" t="s">
        <v>81</v>
      </c>
      <c r="E155" s="5" t="s">
        <v>65</v>
      </c>
      <c r="F155" s="5">
        <v>17</v>
      </c>
      <c r="G155" s="5">
        <v>17</v>
      </c>
      <c r="H155" s="5">
        <v>33</v>
      </c>
      <c r="I155" s="5">
        <v>4</v>
      </c>
      <c r="J155" s="5">
        <v>8.9</v>
      </c>
      <c r="K155" s="6">
        <f>IFERROR(database_24_25!$I155/database_24_25!$J155,0)</f>
        <v>0.449438202247191</v>
      </c>
      <c r="L155" s="5">
        <v>1.1000000000000001</v>
      </c>
      <c r="M155" s="5">
        <v>3.6</v>
      </c>
      <c r="N155" s="6">
        <f>IFERROR(database_24_25!$L155/database_24_25!$M155,0)</f>
        <v>0.30555555555555558</v>
      </c>
      <c r="O155" s="5">
        <v>2.9</v>
      </c>
      <c r="P155" s="5">
        <f>database_24_25!$Q155/10</f>
        <v>5.3</v>
      </c>
      <c r="Q155" s="5">
        <v>53</v>
      </c>
      <c r="R155" s="6">
        <f>IFERROR(database_24_25!$O155/database_24_25!$P155,0)</f>
        <v>0.54716981132075471</v>
      </c>
      <c r="S155" s="5">
        <v>1.7</v>
      </c>
      <c r="T155" s="5">
        <v>2.1</v>
      </c>
      <c r="U155" s="6">
        <f>IFERROR(database_24_25!$S155/database_24_25!$T155,0)</f>
        <v>0.80952380952380942</v>
      </c>
      <c r="V155" s="5">
        <v>1.3</v>
      </c>
      <c r="W155" s="5">
        <v>2.7</v>
      </c>
      <c r="X155" s="5">
        <v>4</v>
      </c>
      <c r="Y155" s="5">
        <v>3.4</v>
      </c>
      <c r="Z155" s="5">
        <v>1.9</v>
      </c>
      <c r="AA155" s="5">
        <v>0.4</v>
      </c>
      <c r="AB155" s="5">
        <v>1.8</v>
      </c>
      <c r="AC155" s="5">
        <v>3.5</v>
      </c>
      <c r="AD155" s="5">
        <v>10.8</v>
      </c>
    </row>
    <row r="156" spans="1:30" x14ac:dyDescent="0.25">
      <c r="A156" s="7">
        <v>1550</v>
      </c>
      <c r="B156" s="7" t="s">
        <v>217</v>
      </c>
      <c r="C156" s="7">
        <v>32</v>
      </c>
      <c r="D156" s="7" t="s">
        <v>108</v>
      </c>
      <c r="E156" s="7" t="s">
        <v>32</v>
      </c>
      <c r="F156" s="7">
        <v>34</v>
      </c>
      <c r="G156" s="7">
        <v>0</v>
      </c>
      <c r="H156" s="7">
        <v>19.600000000000001</v>
      </c>
      <c r="I156" s="7">
        <v>4.9000000000000004</v>
      </c>
      <c r="J156" s="7">
        <v>8.9</v>
      </c>
      <c r="K156" s="6">
        <f>IFERROR(database_24_25!$I156/database_24_25!$J156,0)</f>
        <v>0.550561797752809</v>
      </c>
      <c r="L156" s="7">
        <v>0.2</v>
      </c>
      <c r="M156" s="7">
        <v>0.7</v>
      </c>
      <c r="N156" s="6">
        <f>IFERROR(database_24_25!$L156/database_24_25!$M156,0)</f>
        <v>0.28571428571428575</v>
      </c>
      <c r="O156" s="7">
        <v>4.7</v>
      </c>
      <c r="P156" s="5">
        <f>database_24_25!$Q156/10</f>
        <v>8.1999999999999993</v>
      </c>
      <c r="Q156" s="7">
        <v>82</v>
      </c>
      <c r="R156" s="6">
        <f>IFERROR(database_24_25!$O156/database_24_25!$P156,0)</f>
        <v>0.57317073170731714</v>
      </c>
      <c r="S156" s="7">
        <v>0.8</v>
      </c>
      <c r="T156" s="7">
        <v>1.1000000000000001</v>
      </c>
      <c r="U156" s="6">
        <f>IFERROR(database_24_25!$S156/database_24_25!$T156,0)</f>
        <v>0.72727272727272729</v>
      </c>
      <c r="V156" s="7">
        <v>0.6</v>
      </c>
      <c r="W156" s="7">
        <v>1.9</v>
      </c>
      <c r="X156" s="7">
        <v>2.6</v>
      </c>
      <c r="Y156" s="7">
        <v>4.3</v>
      </c>
      <c r="Z156" s="7">
        <v>1.2</v>
      </c>
      <c r="AA156" s="7">
        <v>0.3</v>
      </c>
      <c r="AB156" s="7">
        <v>1.6</v>
      </c>
      <c r="AC156" s="7">
        <v>1</v>
      </c>
      <c r="AD156" s="7">
        <v>10.8</v>
      </c>
    </row>
    <row r="157" spans="1:30" x14ac:dyDescent="0.25">
      <c r="A157" s="7">
        <v>1570</v>
      </c>
      <c r="B157" s="7" t="s">
        <v>219</v>
      </c>
      <c r="C157" s="7">
        <v>24</v>
      </c>
      <c r="D157" s="7" t="s">
        <v>88</v>
      </c>
      <c r="E157" s="7" t="s">
        <v>32</v>
      </c>
      <c r="F157" s="7">
        <v>35</v>
      </c>
      <c r="G157" s="7">
        <v>14</v>
      </c>
      <c r="H157" s="7">
        <v>22.5</v>
      </c>
      <c r="I157" s="7">
        <v>4</v>
      </c>
      <c r="J157" s="7">
        <v>8.5</v>
      </c>
      <c r="K157" s="6">
        <f>IFERROR(database_24_25!$I157/database_24_25!$J157,0)</f>
        <v>0.47058823529411764</v>
      </c>
      <c r="L157" s="7">
        <v>1.1000000000000001</v>
      </c>
      <c r="M157" s="7">
        <v>3.1</v>
      </c>
      <c r="N157" s="6">
        <f>IFERROR(database_24_25!$L157/database_24_25!$M157,0)</f>
        <v>0.35483870967741937</v>
      </c>
      <c r="O157" s="7">
        <v>2.9</v>
      </c>
      <c r="P157" s="5">
        <f>database_24_25!$Q157/10</f>
        <v>5.4</v>
      </c>
      <c r="Q157" s="7">
        <v>54</v>
      </c>
      <c r="R157" s="6">
        <f>IFERROR(database_24_25!$O157/database_24_25!$P157,0)</f>
        <v>0.53703703703703698</v>
      </c>
      <c r="S157" s="7">
        <v>1.5</v>
      </c>
      <c r="T157" s="7">
        <v>2.2000000000000002</v>
      </c>
      <c r="U157" s="6">
        <f>IFERROR(database_24_25!$S157/database_24_25!$T157,0)</f>
        <v>0.68181818181818177</v>
      </c>
      <c r="V157" s="7">
        <v>0.7</v>
      </c>
      <c r="W157" s="7">
        <v>2.7</v>
      </c>
      <c r="X157" s="7">
        <v>3.4</v>
      </c>
      <c r="Y157" s="7">
        <v>5</v>
      </c>
      <c r="Z157" s="7">
        <v>1.1000000000000001</v>
      </c>
      <c r="AA157" s="7">
        <v>0.4</v>
      </c>
      <c r="AB157" s="7">
        <v>2.2000000000000002</v>
      </c>
      <c r="AC157" s="7">
        <v>2.5</v>
      </c>
      <c r="AD157" s="7">
        <v>10.7</v>
      </c>
    </row>
    <row r="158" spans="1:30" x14ac:dyDescent="0.25">
      <c r="A158" s="5">
        <v>1560</v>
      </c>
      <c r="B158" s="5" t="s">
        <v>218</v>
      </c>
      <c r="C158" s="5">
        <v>25</v>
      </c>
      <c r="D158" s="5" t="s">
        <v>108</v>
      </c>
      <c r="E158" s="5" t="s">
        <v>58</v>
      </c>
      <c r="F158" s="5">
        <v>20</v>
      </c>
      <c r="G158" s="5">
        <v>20</v>
      </c>
      <c r="H158" s="5">
        <v>27.1</v>
      </c>
      <c r="I158" s="5">
        <v>4</v>
      </c>
      <c r="J158" s="5">
        <v>8.6999999999999993</v>
      </c>
      <c r="K158" s="6">
        <f>IFERROR(database_24_25!$I158/database_24_25!$J158,0)</f>
        <v>0.45977011494252878</v>
      </c>
      <c r="L158" s="5">
        <v>0.8</v>
      </c>
      <c r="M158" s="5">
        <v>2.4</v>
      </c>
      <c r="N158" s="6">
        <f>IFERROR(database_24_25!$L158/database_24_25!$M158,0)</f>
        <v>0.33333333333333337</v>
      </c>
      <c r="O158" s="5">
        <v>3.2</v>
      </c>
      <c r="P158" s="5">
        <f>database_24_25!$Q158/10</f>
        <v>6.3</v>
      </c>
      <c r="Q158" s="5">
        <v>63</v>
      </c>
      <c r="R158" s="6">
        <f>IFERROR(database_24_25!$O158/database_24_25!$P158,0)</f>
        <v>0.50793650793650802</v>
      </c>
      <c r="S158" s="5">
        <v>1.9</v>
      </c>
      <c r="T158" s="5">
        <v>2.1</v>
      </c>
      <c r="U158" s="6">
        <f>IFERROR(database_24_25!$S158/database_24_25!$T158,0)</f>
        <v>0.90476190476190466</v>
      </c>
      <c r="V158" s="5">
        <v>0.5</v>
      </c>
      <c r="W158" s="5">
        <v>2.7</v>
      </c>
      <c r="X158" s="5">
        <v>3.2</v>
      </c>
      <c r="Y158" s="5">
        <v>4.9000000000000004</v>
      </c>
      <c r="Z158" s="5">
        <v>0.8</v>
      </c>
      <c r="AA158" s="5">
        <v>0.2</v>
      </c>
      <c r="AB158" s="5">
        <v>1.8</v>
      </c>
      <c r="AC158" s="5">
        <v>1.9</v>
      </c>
      <c r="AD158" s="5">
        <v>10.7</v>
      </c>
    </row>
    <row r="159" spans="1:30" x14ac:dyDescent="0.25">
      <c r="A159" s="5">
        <v>1580</v>
      </c>
      <c r="B159" s="5" t="s">
        <v>220</v>
      </c>
      <c r="C159" s="5">
        <v>19</v>
      </c>
      <c r="D159" s="5" t="s">
        <v>84</v>
      </c>
      <c r="E159" s="5" t="s">
        <v>65</v>
      </c>
      <c r="F159" s="5">
        <v>35</v>
      </c>
      <c r="G159" s="5">
        <v>33</v>
      </c>
      <c r="H159" s="5">
        <v>23.9</v>
      </c>
      <c r="I159" s="5">
        <v>4</v>
      </c>
      <c r="J159" s="5">
        <v>9.9</v>
      </c>
      <c r="K159" s="6">
        <f>IFERROR(database_24_25!$I159/database_24_25!$J159,0)</f>
        <v>0.40404040404040403</v>
      </c>
      <c r="L159" s="5">
        <v>1.2</v>
      </c>
      <c r="M159" s="5">
        <v>4.3</v>
      </c>
      <c r="N159" s="6">
        <f>IFERROR(database_24_25!$L159/database_24_25!$M159,0)</f>
        <v>0.27906976744186046</v>
      </c>
      <c r="O159" s="5">
        <v>2.8</v>
      </c>
      <c r="P159" s="5">
        <f>database_24_25!$Q159/10</f>
        <v>5.7</v>
      </c>
      <c r="Q159" s="5">
        <v>57</v>
      </c>
      <c r="R159" s="6">
        <f>IFERROR(database_24_25!$O159/database_24_25!$P159,0)</f>
        <v>0.49122807017543857</v>
      </c>
      <c r="S159" s="5">
        <v>1.5</v>
      </c>
      <c r="T159" s="5">
        <v>2.2000000000000002</v>
      </c>
      <c r="U159" s="6">
        <f>IFERROR(database_24_25!$S159/database_24_25!$T159,0)</f>
        <v>0.68181818181818177</v>
      </c>
      <c r="V159" s="5">
        <v>1.3</v>
      </c>
      <c r="W159" s="5">
        <v>2.1</v>
      </c>
      <c r="X159" s="5">
        <v>3.4</v>
      </c>
      <c r="Y159" s="5">
        <v>1.2</v>
      </c>
      <c r="Z159" s="5">
        <v>0.8</v>
      </c>
      <c r="AA159" s="5">
        <v>0.6</v>
      </c>
      <c r="AB159" s="5">
        <v>1.2</v>
      </c>
      <c r="AC159" s="5">
        <v>2.1</v>
      </c>
      <c r="AD159" s="5">
        <v>10.7</v>
      </c>
    </row>
    <row r="160" spans="1:30" x14ac:dyDescent="0.25">
      <c r="A160" s="7">
        <v>1590</v>
      </c>
      <c r="B160" s="7" t="s">
        <v>221</v>
      </c>
      <c r="C160" s="7">
        <v>32</v>
      </c>
      <c r="D160" s="7" t="s">
        <v>49</v>
      </c>
      <c r="E160" s="7" t="s">
        <v>27</v>
      </c>
      <c r="F160" s="7">
        <v>34</v>
      </c>
      <c r="G160" s="7">
        <v>34</v>
      </c>
      <c r="H160" s="7">
        <v>27.8</v>
      </c>
      <c r="I160" s="7">
        <v>3.6</v>
      </c>
      <c r="J160" s="7">
        <v>7.4</v>
      </c>
      <c r="K160" s="6">
        <f>IFERROR(database_24_25!$I160/database_24_25!$J160,0)</f>
        <v>0.48648648648648646</v>
      </c>
      <c r="L160" s="7">
        <v>1.4</v>
      </c>
      <c r="M160" s="7">
        <v>3.4</v>
      </c>
      <c r="N160" s="6">
        <f>IFERROR(database_24_25!$L160/database_24_25!$M160,0)</f>
        <v>0.41176470588235292</v>
      </c>
      <c r="O160" s="7">
        <v>2.1</v>
      </c>
      <c r="P160" s="5">
        <f>database_24_25!$Q160/10</f>
        <v>4</v>
      </c>
      <c r="Q160" s="7">
        <v>40</v>
      </c>
      <c r="R160" s="6">
        <f>IFERROR(database_24_25!$O160/database_24_25!$P160,0)</f>
        <v>0.52500000000000002</v>
      </c>
      <c r="S160" s="7">
        <v>2.1</v>
      </c>
      <c r="T160" s="7">
        <v>2.6</v>
      </c>
      <c r="U160" s="6">
        <f>IFERROR(database_24_25!$S160/database_24_25!$T160,0)</f>
        <v>0.80769230769230771</v>
      </c>
      <c r="V160" s="7">
        <v>1.5</v>
      </c>
      <c r="W160" s="7">
        <v>2.2999999999999998</v>
      </c>
      <c r="X160" s="7">
        <v>3.9</v>
      </c>
      <c r="Y160" s="7">
        <v>1.5</v>
      </c>
      <c r="Z160" s="7">
        <v>0.3</v>
      </c>
      <c r="AA160" s="7">
        <v>0.2</v>
      </c>
      <c r="AB160" s="7">
        <v>0.7</v>
      </c>
      <c r="AC160" s="7">
        <v>0.8</v>
      </c>
      <c r="AD160" s="7">
        <v>10.6</v>
      </c>
    </row>
    <row r="161" spans="1:30" x14ac:dyDescent="0.25">
      <c r="A161" s="7">
        <v>1610</v>
      </c>
      <c r="B161" s="7" t="s">
        <v>223</v>
      </c>
      <c r="C161" s="7">
        <v>31</v>
      </c>
      <c r="D161" s="7" t="s">
        <v>45</v>
      </c>
      <c r="E161" s="7" t="s">
        <v>65</v>
      </c>
      <c r="F161" s="7">
        <v>31</v>
      </c>
      <c r="G161" s="7">
        <v>9</v>
      </c>
      <c r="H161" s="7">
        <v>26.4</v>
      </c>
      <c r="I161" s="7">
        <v>3.7</v>
      </c>
      <c r="J161" s="7">
        <v>8.3000000000000007</v>
      </c>
      <c r="K161" s="6">
        <f>IFERROR(database_24_25!$I161/database_24_25!$J161,0)</f>
        <v>0.44578313253012047</v>
      </c>
      <c r="L161" s="7">
        <v>2.5</v>
      </c>
      <c r="M161" s="7">
        <v>5.7</v>
      </c>
      <c r="N161" s="6">
        <f>IFERROR(database_24_25!$L161/database_24_25!$M161,0)</f>
        <v>0.43859649122807015</v>
      </c>
      <c r="O161" s="7">
        <v>1.2</v>
      </c>
      <c r="P161" s="5">
        <f>database_24_25!$Q161/10</f>
        <v>2.6</v>
      </c>
      <c r="Q161" s="7">
        <v>26</v>
      </c>
      <c r="R161" s="6">
        <f>IFERROR(database_24_25!$O161/database_24_25!$P161,0)</f>
        <v>0.46153846153846151</v>
      </c>
      <c r="S161" s="7">
        <v>0.5</v>
      </c>
      <c r="T161" s="7">
        <v>0.7</v>
      </c>
      <c r="U161" s="6">
        <f>IFERROR(database_24_25!$S161/database_24_25!$T161,0)</f>
        <v>0.7142857142857143</v>
      </c>
      <c r="V161" s="7">
        <v>1</v>
      </c>
      <c r="W161" s="7">
        <v>4.5999999999999996</v>
      </c>
      <c r="X161" s="7">
        <v>5.6</v>
      </c>
      <c r="Y161" s="7">
        <v>2.4</v>
      </c>
      <c r="Z161" s="7">
        <v>1</v>
      </c>
      <c r="AA161" s="7">
        <v>0.6</v>
      </c>
      <c r="AB161" s="7">
        <v>1</v>
      </c>
      <c r="AC161" s="7">
        <v>2.2999999999999998</v>
      </c>
      <c r="AD161" s="7">
        <v>10.5</v>
      </c>
    </row>
    <row r="162" spans="1:30" x14ac:dyDescent="0.25">
      <c r="A162" s="5">
        <v>1600</v>
      </c>
      <c r="B162" s="5" t="s">
        <v>222</v>
      </c>
      <c r="C162" s="5">
        <v>27</v>
      </c>
      <c r="D162" s="5" t="s">
        <v>75</v>
      </c>
      <c r="E162" s="5" t="s">
        <v>58</v>
      </c>
      <c r="F162" s="5">
        <v>33</v>
      </c>
      <c r="G162" s="5">
        <v>9</v>
      </c>
      <c r="H162" s="5">
        <v>24.9</v>
      </c>
      <c r="I162" s="5">
        <v>3.7</v>
      </c>
      <c r="J162" s="5">
        <v>7.4</v>
      </c>
      <c r="K162" s="6">
        <f>IFERROR(database_24_25!$I162/database_24_25!$J162,0)</f>
        <v>0.5</v>
      </c>
      <c r="L162" s="5">
        <v>1.7</v>
      </c>
      <c r="M162" s="5">
        <v>3.8</v>
      </c>
      <c r="N162" s="6">
        <f>IFERROR(database_24_25!$L162/database_24_25!$M162,0)</f>
        <v>0.44736842105263158</v>
      </c>
      <c r="O162" s="5">
        <v>2</v>
      </c>
      <c r="P162" s="5">
        <f>database_24_25!$Q162/10</f>
        <v>3.6</v>
      </c>
      <c r="Q162" s="5">
        <v>36</v>
      </c>
      <c r="R162" s="6">
        <f>IFERROR(database_24_25!$O162/database_24_25!$P162,0)</f>
        <v>0.55555555555555558</v>
      </c>
      <c r="S162" s="5">
        <v>1.3</v>
      </c>
      <c r="T162" s="5">
        <v>1.6</v>
      </c>
      <c r="U162" s="6">
        <f>IFERROR(database_24_25!$S162/database_24_25!$T162,0)</f>
        <v>0.8125</v>
      </c>
      <c r="V162" s="5">
        <v>0.5</v>
      </c>
      <c r="W162" s="5">
        <v>2.1</v>
      </c>
      <c r="X162" s="5">
        <v>2.6</v>
      </c>
      <c r="Y162" s="5">
        <v>1.2</v>
      </c>
      <c r="Z162" s="5">
        <v>0.5</v>
      </c>
      <c r="AA162" s="5">
        <v>0.1</v>
      </c>
      <c r="AB162" s="5">
        <v>0.8</v>
      </c>
      <c r="AC162" s="5">
        <v>1.6</v>
      </c>
      <c r="AD162" s="5">
        <v>10.5</v>
      </c>
    </row>
    <row r="163" spans="1:30" x14ac:dyDescent="0.25">
      <c r="A163" s="5">
        <v>1620</v>
      </c>
      <c r="B163" s="5" t="s">
        <v>224</v>
      </c>
      <c r="C163" s="5">
        <v>29</v>
      </c>
      <c r="D163" s="5" t="s">
        <v>45</v>
      </c>
      <c r="E163" s="5" t="s">
        <v>58</v>
      </c>
      <c r="F163" s="5">
        <v>23</v>
      </c>
      <c r="G163" s="5">
        <v>1</v>
      </c>
      <c r="H163" s="5">
        <v>23.9</v>
      </c>
      <c r="I163" s="5">
        <v>3.2</v>
      </c>
      <c r="J163" s="5">
        <v>8</v>
      </c>
      <c r="K163" s="6">
        <f>IFERROR(database_24_25!$I163/database_24_25!$J163,0)</f>
        <v>0.4</v>
      </c>
      <c r="L163" s="5">
        <v>2.2000000000000002</v>
      </c>
      <c r="M163" s="5">
        <v>5.8</v>
      </c>
      <c r="N163" s="6">
        <f>IFERROR(database_24_25!$L163/database_24_25!$M163,0)</f>
        <v>0.37931034482758624</v>
      </c>
      <c r="O163" s="5">
        <v>1</v>
      </c>
      <c r="P163" s="5">
        <f>database_24_25!$Q163/10</f>
        <v>2.2000000000000002</v>
      </c>
      <c r="Q163" s="5">
        <v>22</v>
      </c>
      <c r="R163" s="6">
        <f>IFERROR(database_24_25!$O163/database_24_25!$P163,0)</f>
        <v>0.45454545454545453</v>
      </c>
      <c r="S163" s="5">
        <v>1.8</v>
      </c>
      <c r="T163" s="5">
        <v>2.2000000000000002</v>
      </c>
      <c r="U163" s="6">
        <f>IFERROR(database_24_25!$S163/database_24_25!$T163,0)</f>
        <v>0.81818181818181812</v>
      </c>
      <c r="V163" s="5">
        <v>0.7</v>
      </c>
      <c r="W163" s="5">
        <v>2.5</v>
      </c>
      <c r="X163" s="5">
        <v>3.2</v>
      </c>
      <c r="Y163" s="5">
        <v>1.8</v>
      </c>
      <c r="Z163" s="5">
        <v>0.9</v>
      </c>
      <c r="AA163" s="5">
        <v>0.3</v>
      </c>
      <c r="AB163" s="5">
        <v>1</v>
      </c>
      <c r="AC163" s="5">
        <v>1.5</v>
      </c>
      <c r="AD163" s="5">
        <v>10.4</v>
      </c>
    </row>
    <row r="164" spans="1:30" x14ac:dyDescent="0.25">
      <c r="A164" s="7">
        <v>1630</v>
      </c>
      <c r="B164" s="7" t="s">
        <v>225</v>
      </c>
      <c r="C164" s="7">
        <v>26</v>
      </c>
      <c r="D164" s="7" t="s">
        <v>37</v>
      </c>
      <c r="E164" s="7" t="s">
        <v>27</v>
      </c>
      <c r="F164" s="7">
        <v>16</v>
      </c>
      <c r="G164" s="7">
        <v>7</v>
      </c>
      <c r="H164" s="7">
        <v>29.9</v>
      </c>
      <c r="I164" s="7">
        <v>3.4</v>
      </c>
      <c r="J164" s="7">
        <v>7.7</v>
      </c>
      <c r="K164" s="6">
        <f>IFERROR(database_24_25!$I164/database_24_25!$J164,0)</f>
        <v>0.44155844155844154</v>
      </c>
      <c r="L164" s="7">
        <v>1.7</v>
      </c>
      <c r="M164" s="7">
        <v>4.5999999999999996</v>
      </c>
      <c r="N164" s="6">
        <f>IFERROR(database_24_25!$L164/database_24_25!$M164,0)</f>
        <v>0.36956521739130438</v>
      </c>
      <c r="O164" s="7">
        <v>1.7</v>
      </c>
      <c r="P164" s="5">
        <f>database_24_25!$Q164/10</f>
        <v>3.1</v>
      </c>
      <c r="Q164" s="7">
        <v>31</v>
      </c>
      <c r="R164" s="6">
        <f>IFERROR(database_24_25!$O164/database_24_25!$P164,0)</f>
        <v>0.54838709677419351</v>
      </c>
      <c r="S164" s="7">
        <v>1.9</v>
      </c>
      <c r="T164" s="7">
        <v>2.2999999999999998</v>
      </c>
      <c r="U164" s="6">
        <f>IFERROR(database_24_25!$S164/database_24_25!$T164,0)</f>
        <v>0.82608695652173914</v>
      </c>
      <c r="V164" s="7">
        <v>1.1000000000000001</v>
      </c>
      <c r="W164" s="7">
        <v>4</v>
      </c>
      <c r="X164" s="7">
        <v>5.0999999999999996</v>
      </c>
      <c r="Y164" s="7">
        <v>2.2999999999999998</v>
      </c>
      <c r="Z164" s="7">
        <v>1.1000000000000001</v>
      </c>
      <c r="AA164" s="7">
        <v>0.8</v>
      </c>
      <c r="AB164" s="7">
        <v>1.8</v>
      </c>
      <c r="AC164" s="7">
        <v>2.9</v>
      </c>
      <c r="AD164" s="7">
        <v>10.4</v>
      </c>
    </row>
    <row r="165" spans="1:30" x14ac:dyDescent="0.25">
      <c r="A165" s="5">
        <v>1640</v>
      </c>
      <c r="B165" s="5" t="s">
        <v>226</v>
      </c>
      <c r="C165" s="5">
        <v>26</v>
      </c>
      <c r="D165" s="5" t="s">
        <v>81</v>
      </c>
      <c r="E165" s="5" t="s">
        <v>32</v>
      </c>
      <c r="F165" s="5">
        <v>12</v>
      </c>
      <c r="G165" s="5">
        <v>7</v>
      </c>
      <c r="H165" s="5">
        <v>25.1</v>
      </c>
      <c r="I165" s="5">
        <v>3.5</v>
      </c>
      <c r="J165" s="5">
        <v>8.9</v>
      </c>
      <c r="K165" s="6">
        <f>IFERROR(database_24_25!$I165/database_24_25!$J165,0)</f>
        <v>0.3932584269662921</v>
      </c>
      <c r="L165" s="5">
        <v>2.1</v>
      </c>
      <c r="M165" s="5">
        <v>5.3</v>
      </c>
      <c r="N165" s="6">
        <f>IFERROR(database_24_25!$L165/database_24_25!$M165,0)</f>
        <v>0.39622641509433965</v>
      </c>
      <c r="O165" s="5">
        <v>1.4</v>
      </c>
      <c r="P165" s="5">
        <f>database_24_25!$Q165/10</f>
        <v>3.6</v>
      </c>
      <c r="Q165" s="5">
        <v>36</v>
      </c>
      <c r="R165" s="6">
        <f>IFERROR(database_24_25!$O165/database_24_25!$P165,0)</f>
        <v>0.38888888888888884</v>
      </c>
      <c r="S165" s="5">
        <v>1.2</v>
      </c>
      <c r="T165" s="5">
        <v>1.4</v>
      </c>
      <c r="U165" s="6">
        <f>IFERROR(database_24_25!$S165/database_24_25!$T165,0)</f>
        <v>0.85714285714285721</v>
      </c>
      <c r="V165" s="5">
        <v>0.6</v>
      </c>
      <c r="W165" s="5">
        <v>1.6</v>
      </c>
      <c r="X165" s="5">
        <v>2.2000000000000002</v>
      </c>
      <c r="Y165" s="5">
        <v>4.3</v>
      </c>
      <c r="Z165" s="5">
        <v>1.7</v>
      </c>
      <c r="AA165" s="5">
        <v>0.3</v>
      </c>
      <c r="AB165" s="5">
        <v>1.2</v>
      </c>
      <c r="AC165" s="5">
        <v>2.2999999999999998</v>
      </c>
      <c r="AD165" s="5">
        <v>10.3</v>
      </c>
    </row>
    <row r="166" spans="1:30" x14ac:dyDescent="0.25">
      <c r="A166" s="5">
        <v>1650</v>
      </c>
      <c r="B166" s="5" t="s">
        <v>227</v>
      </c>
      <c r="C166" s="5">
        <v>32</v>
      </c>
      <c r="D166" s="5" t="s">
        <v>63</v>
      </c>
      <c r="E166" s="5" t="s">
        <v>35</v>
      </c>
      <c r="F166" s="5">
        <v>33</v>
      </c>
      <c r="G166" s="5">
        <v>33</v>
      </c>
      <c r="H166" s="5">
        <v>33.5</v>
      </c>
      <c r="I166" s="5">
        <v>3.9</v>
      </c>
      <c r="J166" s="5">
        <v>6.2</v>
      </c>
      <c r="K166" s="6">
        <f>IFERROR(database_24_25!$I166/database_24_25!$J166,0)</f>
        <v>0.62903225806451613</v>
      </c>
      <c r="L166" s="5">
        <v>0</v>
      </c>
      <c r="M166" s="5">
        <v>0</v>
      </c>
      <c r="N166" s="6">
        <f>IFERROR(database_24_25!$L166/database_24_25!$M166,0)</f>
        <v>0</v>
      </c>
      <c r="O166" s="5">
        <v>3.9</v>
      </c>
      <c r="P166" s="5">
        <f>database_24_25!$Q166/10</f>
        <v>6.2</v>
      </c>
      <c r="Q166" s="5">
        <v>62</v>
      </c>
      <c r="R166" s="6">
        <f>IFERROR(database_24_25!$O166/database_24_25!$P166,0)</f>
        <v>0.62903225806451613</v>
      </c>
      <c r="S166" s="5">
        <v>2.4</v>
      </c>
      <c r="T166" s="5">
        <v>3.4</v>
      </c>
      <c r="U166" s="6">
        <f>IFERROR(database_24_25!$S166/database_24_25!$T166,0)</f>
        <v>0.70588235294117652</v>
      </c>
      <c r="V166" s="5">
        <v>3.4</v>
      </c>
      <c r="W166" s="5">
        <v>7.1</v>
      </c>
      <c r="X166" s="5">
        <v>10.5</v>
      </c>
      <c r="Y166" s="5">
        <v>1.7</v>
      </c>
      <c r="Z166" s="5">
        <v>0.7</v>
      </c>
      <c r="AA166" s="5">
        <v>1.4</v>
      </c>
      <c r="AB166" s="5">
        <v>1.5</v>
      </c>
      <c r="AC166" s="5">
        <v>2.6</v>
      </c>
      <c r="AD166" s="5">
        <v>10.3</v>
      </c>
    </row>
    <row r="167" spans="1:30" x14ac:dyDescent="0.25">
      <c r="A167" s="7">
        <v>1670</v>
      </c>
      <c r="B167" s="7" t="s">
        <v>229</v>
      </c>
      <c r="C167" s="7">
        <v>26</v>
      </c>
      <c r="D167" s="7" t="s">
        <v>108</v>
      </c>
      <c r="E167" s="7" t="s">
        <v>27</v>
      </c>
      <c r="F167" s="7">
        <v>32</v>
      </c>
      <c r="G167" s="7">
        <v>0</v>
      </c>
      <c r="H167" s="7">
        <v>19.7</v>
      </c>
      <c r="I167" s="7">
        <v>4</v>
      </c>
      <c r="J167" s="7">
        <v>7.3</v>
      </c>
      <c r="K167" s="6">
        <f>IFERROR(database_24_25!$I167/database_24_25!$J167,0)</f>
        <v>0.54794520547945202</v>
      </c>
      <c r="L167" s="7">
        <v>1.3</v>
      </c>
      <c r="M167" s="7">
        <v>3.5</v>
      </c>
      <c r="N167" s="6">
        <f>IFERROR(database_24_25!$L167/database_24_25!$M167,0)</f>
        <v>0.37142857142857144</v>
      </c>
      <c r="O167" s="7">
        <v>2.8</v>
      </c>
      <c r="P167" s="5">
        <f>database_24_25!$Q167/10</f>
        <v>3.8</v>
      </c>
      <c r="Q167" s="7">
        <v>38</v>
      </c>
      <c r="R167" s="6">
        <f>IFERROR(database_24_25!$O167/database_24_25!$P167,0)</f>
        <v>0.73684210526315785</v>
      </c>
      <c r="S167" s="7">
        <v>1</v>
      </c>
      <c r="T167" s="7">
        <v>1.3</v>
      </c>
      <c r="U167" s="6">
        <f>IFERROR(database_24_25!$S167/database_24_25!$T167,0)</f>
        <v>0.76923076923076916</v>
      </c>
      <c r="V167" s="7">
        <v>0.7</v>
      </c>
      <c r="W167" s="7">
        <v>3.4</v>
      </c>
      <c r="X167" s="7">
        <v>4.0999999999999996</v>
      </c>
      <c r="Y167" s="7">
        <v>1.7</v>
      </c>
      <c r="Z167" s="7">
        <v>0.8</v>
      </c>
      <c r="AA167" s="7">
        <v>0.4</v>
      </c>
      <c r="AB167" s="7">
        <v>0.7</v>
      </c>
      <c r="AC167" s="7">
        <v>1.5</v>
      </c>
      <c r="AD167" s="7">
        <v>10.3</v>
      </c>
    </row>
    <row r="168" spans="1:30" x14ac:dyDescent="0.25">
      <c r="A168" s="7">
        <v>1660</v>
      </c>
      <c r="B168" s="7" t="s">
        <v>228</v>
      </c>
      <c r="C168" s="7">
        <v>26</v>
      </c>
      <c r="D168" s="7" t="s">
        <v>86</v>
      </c>
      <c r="E168" s="7" t="s">
        <v>58</v>
      </c>
      <c r="F168" s="7">
        <v>6</v>
      </c>
      <c r="G168" s="7">
        <v>2</v>
      </c>
      <c r="H168" s="7">
        <v>20.2</v>
      </c>
      <c r="I168" s="7">
        <v>3.7</v>
      </c>
      <c r="J168" s="7">
        <v>9</v>
      </c>
      <c r="K168" s="6">
        <f>IFERROR(database_24_25!$I168/database_24_25!$J168,0)</f>
        <v>0.41111111111111115</v>
      </c>
      <c r="L168" s="7">
        <v>2.2000000000000002</v>
      </c>
      <c r="M168" s="7">
        <v>5.8</v>
      </c>
      <c r="N168" s="6">
        <f>IFERROR(database_24_25!$L168/database_24_25!$M168,0)</f>
        <v>0.37931034482758624</v>
      </c>
      <c r="O168" s="7">
        <v>1.5</v>
      </c>
      <c r="P168" s="5">
        <f>database_24_25!$Q168/10</f>
        <v>3.2</v>
      </c>
      <c r="Q168" s="7">
        <v>32</v>
      </c>
      <c r="R168" s="6">
        <f>IFERROR(database_24_25!$O168/database_24_25!$P168,0)</f>
        <v>0.46875</v>
      </c>
      <c r="S168" s="7">
        <v>0.8</v>
      </c>
      <c r="T168" s="7">
        <v>1.3</v>
      </c>
      <c r="U168" s="6">
        <f>IFERROR(database_24_25!$S168/database_24_25!$T168,0)</f>
        <v>0.61538461538461542</v>
      </c>
      <c r="V168" s="7">
        <v>1</v>
      </c>
      <c r="W168" s="7">
        <v>2.2999999999999998</v>
      </c>
      <c r="X168" s="7">
        <v>3.3</v>
      </c>
      <c r="Y168" s="7">
        <v>2.8</v>
      </c>
      <c r="Z168" s="7">
        <v>1.2</v>
      </c>
      <c r="AA168" s="7">
        <v>0.3</v>
      </c>
      <c r="AB168" s="7">
        <v>1.7</v>
      </c>
      <c r="AC168" s="7">
        <v>3</v>
      </c>
      <c r="AD168" s="7">
        <v>10.3</v>
      </c>
    </row>
    <row r="169" spans="1:30" x14ac:dyDescent="0.25">
      <c r="A169" s="5">
        <v>1680</v>
      </c>
      <c r="B169" s="5" t="s">
        <v>230</v>
      </c>
      <c r="C169" s="5">
        <v>23</v>
      </c>
      <c r="D169" s="5" t="s">
        <v>114</v>
      </c>
      <c r="E169" s="5" t="s">
        <v>35</v>
      </c>
      <c r="F169" s="5">
        <v>26</v>
      </c>
      <c r="G169" s="5">
        <v>26</v>
      </c>
      <c r="H169" s="5">
        <v>29.8</v>
      </c>
      <c r="I169" s="5">
        <v>4.4000000000000004</v>
      </c>
      <c r="J169" s="5">
        <v>6.3</v>
      </c>
      <c r="K169" s="6">
        <f>IFERROR(database_24_25!$I169/database_24_25!$J169,0)</f>
        <v>0.69841269841269848</v>
      </c>
      <c r="L169" s="5">
        <v>0.1</v>
      </c>
      <c r="M169" s="5">
        <v>0.2</v>
      </c>
      <c r="N169" s="6">
        <f>IFERROR(database_24_25!$L169/database_24_25!$M169,0)</f>
        <v>0.5</v>
      </c>
      <c r="O169" s="5">
        <v>4.3</v>
      </c>
      <c r="P169" s="5">
        <f>database_24_25!$Q169/10</f>
        <v>6.1</v>
      </c>
      <c r="Q169" s="5">
        <v>61</v>
      </c>
      <c r="R169" s="6">
        <f>IFERROR(database_24_25!$O169/database_24_25!$P169,0)</f>
        <v>0.70491803278688525</v>
      </c>
      <c r="S169" s="5">
        <v>1.3</v>
      </c>
      <c r="T169" s="5">
        <v>2.5</v>
      </c>
      <c r="U169" s="6">
        <f>IFERROR(database_24_25!$S169/database_24_25!$T169,0)</f>
        <v>0.52</v>
      </c>
      <c r="V169" s="5">
        <v>3.9</v>
      </c>
      <c r="W169" s="5">
        <v>7</v>
      </c>
      <c r="X169" s="5">
        <v>10.9</v>
      </c>
      <c r="Y169" s="5">
        <v>1.8</v>
      </c>
      <c r="Z169" s="5">
        <v>0.5</v>
      </c>
      <c r="AA169" s="5">
        <v>2.7</v>
      </c>
      <c r="AB169" s="5">
        <v>1.5</v>
      </c>
      <c r="AC169" s="5">
        <v>2.2999999999999998</v>
      </c>
      <c r="AD169" s="5">
        <v>10.199999999999999</v>
      </c>
    </row>
    <row r="170" spans="1:30" x14ac:dyDescent="0.25">
      <c r="A170" s="7">
        <v>1690</v>
      </c>
      <c r="B170" s="7" t="s">
        <v>231</v>
      </c>
      <c r="C170" s="7">
        <v>23</v>
      </c>
      <c r="D170" s="7" t="s">
        <v>90</v>
      </c>
      <c r="E170" s="7" t="s">
        <v>27</v>
      </c>
      <c r="F170" s="7">
        <v>24</v>
      </c>
      <c r="G170" s="7">
        <v>23</v>
      </c>
      <c r="H170" s="7">
        <v>27</v>
      </c>
      <c r="I170" s="7">
        <v>3.5</v>
      </c>
      <c r="J170" s="7">
        <v>8.9</v>
      </c>
      <c r="K170" s="6">
        <f>IFERROR(database_24_25!$I170/database_24_25!$J170,0)</f>
        <v>0.3932584269662921</v>
      </c>
      <c r="L170" s="7">
        <v>1.9</v>
      </c>
      <c r="M170" s="7">
        <v>4.9000000000000004</v>
      </c>
      <c r="N170" s="6">
        <f>IFERROR(database_24_25!$L170/database_24_25!$M170,0)</f>
        <v>0.38775510204081626</v>
      </c>
      <c r="O170" s="7">
        <v>1.7</v>
      </c>
      <c r="P170" s="5">
        <f>database_24_25!$Q170/10</f>
        <v>4</v>
      </c>
      <c r="Q170" s="7">
        <v>40</v>
      </c>
      <c r="R170" s="6">
        <f>IFERROR(database_24_25!$O170/database_24_25!$P170,0)</f>
        <v>0.42499999999999999</v>
      </c>
      <c r="S170" s="7">
        <v>1.2</v>
      </c>
      <c r="T170" s="7">
        <v>1.4</v>
      </c>
      <c r="U170" s="6">
        <f>IFERROR(database_24_25!$S170/database_24_25!$T170,0)</f>
        <v>0.85714285714285721</v>
      </c>
      <c r="V170" s="7">
        <v>0.8</v>
      </c>
      <c r="W170" s="7">
        <v>3.5</v>
      </c>
      <c r="X170" s="7">
        <v>4.3</v>
      </c>
      <c r="Y170" s="7">
        <v>2.2000000000000002</v>
      </c>
      <c r="Z170" s="7">
        <v>0.9</v>
      </c>
      <c r="AA170" s="7">
        <v>0.5</v>
      </c>
      <c r="AB170" s="7">
        <v>1.5</v>
      </c>
      <c r="AC170" s="7">
        <v>1.3</v>
      </c>
      <c r="AD170" s="7">
        <v>10.199999999999999</v>
      </c>
    </row>
    <row r="171" spans="1:30" x14ac:dyDescent="0.25">
      <c r="A171" s="5">
        <v>1710</v>
      </c>
      <c r="B171" s="5" t="s">
        <v>233</v>
      </c>
      <c r="C171" s="5">
        <v>32</v>
      </c>
      <c r="D171" s="5" t="s">
        <v>73</v>
      </c>
      <c r="E171" s="5" t="s">
        <v>58</v>
      </c>
      <c r="F171" s="5">
        <v>31</v>
      </c>
      <c r="G171" s="5">
        <v>31</v>
      </c>
      <c r="H171" s="5">
        <v>27.6</v>
      </c>
      <c r="I171" s="5">
        <v>3.3</v>
      </c>
      <c r="J171" s="5">
        <v>8.1</v>
      </c>
      <c r="K171" s="6">
        <f>IFERROR(database_24_25!$I171/database_24_25!$J171,0)</f>
        <v>0.40740740740740738</v>
      </c>
      <c r="L171" s="5">
        <v>1.9</v>
      </c>
      <c r="M171" s="5">
        <v>5.4</v>
      </c>
      <c r="N171" s="6">
        <f>IFERROR(database_24_25!$L171/database_24_25!$M171,0)</f>
        <v>0.3518518518518518</v>
      </c>
      <c r="O171" s="5">
        <v>1.4</v>
      </c>
      <c r="P171" s="5">
        <f>database_24_25!$Q171/10</f>
        <v>2.7</v>
      </c>
      <c r="Q171" s="5">
        <v>27</v>
      </c>
      <c r="R171" s="6">
        <f>IFERROR(database_24_25!$O171/database_24_25!$P171,0)</f>
        <v>0.51851851851851849</v>
      </c>
      <c r="S171" s="5">
        <v>1.5</v>
      </c>
      <c r="T171" s="5">
        <v>1.8</v>
      </c>
      <c r="U171" s="6">
        <f>IFERROR(database_24_25!$S171/database_24_25!$T171,0)</f>
        <v>0.83333333333333326</v>
      </c>
      <c r="V171" s="5">
        <v>0.2</v>
      </c>
      <c r="W171" s="5">
        <v>1.8</v>
      </c>
      <c r="X171" s="5">
        <v>2</v>
      </c>
      <c r="Y171" s="5">
        <v>1.6</v>
      </c>
      <c r="Z171" s="5">
        <v>0.4</v>
      </c>
      <c r="AA171" s="5">
        <v>0</v>
      </c>
      <c r="AB171" s="5">
        <v>0.7</v>
      </c>
      <c r="AC171" s="5">
        <v>1.4</v>
      </c>
      <c r="AD171" s="5">
        <v>10.1</v>
      </c>
    </row>
    <row r="172" spans="1:30" x14ac:dyDescent="0.25">
      <c r="A172" s="7">
        <v>1700</v>
      </c>
      <c r="B172" s="7" t="s">
        <v>232</v>
      </c>
      <c r="C172" s="7">
        <v>24</v>
      </c>
      <c r="D172" s="7" t="s">
        <v>43</v>
      </c>
      <c r="E172" s="7" t="s">
        <v>58</v>
      </c>
      <c r="F172" s="7">
        <v>33</v>
      </c>
      <c r="G172" s="7">
        <v>11</v>
      </c>
      <c r="H172" s="7">
        <v>22.2</v>
      </c>
      <c r="I172" s="7">
        <v>3.5</v>
      </c>
      <c r="J172" s="7">
        <v>7.3</v>
      </c>
      <c r="K172" s="6">
        <f>IFERROR(database_24_25!$I172/database_24_25!$J172,0)</f>
        <v>0.47945205479452058</v>
      </c>
      <c r="L172" s="7">
        <v>1.6</v>
      </c>
      <c r="M172" s="7">
        <v>4</v>
      </c>
      <c r="N172" s="6">
        <f>IFERROR(database_24_25!$L172/database_24_25!$M172,0)</f>
        <v>0.4</v>
      </c>
      <c r="O172" s="7">
        <v>1.8</v>
      </c>
      <c r="P172" s="5">
        <f>database_24_25!$Q172/10</f>
        <v>3.3</v>
      </c>
      <c r="Q172" s="7">
        <v>33</v>
      </c>
      <c r="R172" s="6">
        <f>IFERROR(database_24_25!$O172/database_24_25!$P172,0)</f>
        <v>0.54545454545454553</v>
      </c>
      <c r="S172" s="7">
        <v>1.5</v>
      </c>
      <c r="T172" s="7">
        <v>1.9</v>
      </c>
      <c r="U172" s="6">
        <f>IFERROR(database_24_25!$S172/database_24_25!$T172,0)</f>
        <v>0.78947368421052633</v>
      </c>
      <c r="V172" s="7">
        <v>0.8</v>
      </c>
      <c r="W172" s="7">
        <v>3.2</v>
      </c>
      <c r="X172" s="7">
        <v>4</v>
      </c>
      <c r="Y172" s="7">
        <v>1.8</v>
      </c>
      <c r="Z172" s="7">
        <v>0.6</v>
      </c>
      <c r="AA172" s="7">
        <v>0.3</v>
      </c>
      <c r="AB172" s="7">
        <v>1.2</v>
      </c>
      <c r="AC172" s="7">
        <v>1.6</v>
      </c>
      <c r="AD172" s="7">
        <v>10.1</v>
      </c>
    </row>
    <row r="173" spans="1:30" x14ac:dyDescent="0.25">
      <c r="A173" s="7">
        <v>1720</v>
      </c>
      <c r="B173" s="7" t="s">
        <v>234</v>
      </c>
      <c r="C173" s="7">
        <v>27</v>
      </c>
      <c r="D173" s="7" t="s">
        <v>79</v>
      </c>
      <c r="E173" s="7" t="s">
        <v>58</v>
      </c>
      <c r="F173" s="7">
        <v>33</v>
      </c>
      <c r="G173" s="7">
        <v>2</v>
      </c>
      <c r="H173" s="7">
        <v>17.600000000000001</v>
      </c>
      <c r="I173" s="7">
        <v>3.7</v>
      </c>
      <c r="J173" s="7">
        <v>7.4</v>
      </c>
      <c r="K173" s="6">
        <f>IFERROR(database_24_25!$I173/database_24_25!$J173,0)</f>
        <v>0.5</v>
      </c>
      <c r="L173" s="7">
        <v>1.4</v>
      </c>
      <c r="M173" s="7">
        <v>3.3</v>
      </c>
      <c r="N173" s="6">
        <f>IFERROR(database_24_25!$L173/database_24_25!$M173,0)</f>
        <v>0.42424242424242425</v>
      </c>
      <c r="O173" s="7">
        <v>2.2999999999999998</v>
      </c>
      <c r="P173" s="5">
        <f>database_24_25!$Q173/10</f>
        <v>4.0999999999999996</v>
      </c>
      <c r="Q173" s="7">
        <v>41</v>
      </c>
      <c r="R173" s="6">
        <f>IFERROR(database_24_25!$O173/database_24_25!$P173,0)</f>
        <v>0.56097560975609762</v>
      </c>
      <c r="S173" s="7">
        <v>1.4</v>
      </c>
      <c r="T173" s="7">
        <v>1.5</v>
      </c>
      <c r="U173" s="6">
        <f>IFERROR(database_24_25!$S173/database_24_25!$T173,0)</f>
        <v>0.93333333333333324</v>
      </c>
      <c r="V173" s="7">
        <v>0.6</v>
      </c>
      <c r="W173" s="7">
        <v>1.5</v>
      </c>
      <c r="X173" s="7">
        <v>2.2000000000000002</v>
      </c>
      <c r="Y173" s="7">
        <v>3.5</v>
      </c>
      <c r="Z173" s="7">
        <v>1.1000000000000001</v>
      </c>
      <c r="AA173" s="7">
        <v>0</v>
      </c>
      <c r="AB173" s="7">
        <v>1.1000000000000001</v>
      </c>
      <c r="AC173" s="7">
        <v>1.5</v>
      </c>
      <c r="AD173" s="7">
        <v>10.1</v>
      </c>
    </row>
    <row r="174" spans="1:30" x14ac:dyDescent="0.25">
      <c r="A174" s="7">
        <v>1730</v>
      </c>
      <c r="B174" s="7" t="s">
        <v>235</v>
      </c>
      <c r="C174" s="7">
        <v>28</v>
      </c>
      <c r="D174" s="7" t="s">
        <v>63</v>
      </c>
      <c r="E174" s="7" t="s">
        <v>58</v>
      </c>
      <c r="F174" s="7">
        <v>33</v>
      </c>
      <c r="G174" s="7">
        <v>2</v>
      </c>
      <c r="H174" s="7">
        <v>25.5</v>
      </c>
      <c r="I174" s="7">
        <v>3.4</v>
      </c>
      <c r="J174" s="7">
        <v>8.6</v>
      </c>
      <c r="K174" s="6">
        <f>IFERROR(database_24_25!$I174/database_24_25!$J174,0)</f>
        <v>0.39534883720930231</v>
      </c>
      <c r="L174" s="7">
        <v>2.4</v>
      </c>
      <c r="M174" s="7">
        <v>6.6</v>
      </c>
      <c r="N174" s="6">
        <f>IFERROR(database_24_25!$L174/database_24_25!$M174,0)</f>
        <v>0.36363636363636365</v>
      </c>
      <c r="O174" s="7">
        <v>1</v>
      </c>
      <c r="P174" s="5">
        <f>database_24_25!$Q174/10</f>
        <v>2.1</v>
      </c>
      <c r="Q174" s="7">
        <v>21</v>
      </c>
      <c r="R174" s="6">
        <f>IFERROR(database_24_25!$O174/database_24_25!$P174,0)</f>
        <v>0.47619047619047616</v>
      </c>
      <c r="S174" s="7">
        <v>0.9</v>
      </c>
      <c r="T174" s="7">
        <v>1.1000000000000001</v>
      </c>
      <c r="U174" s="6">
        <f>IFERROR(database_24_25!$S174/database_24_25!$T174,0)</f>
        <v>0.81818181818181812</v>
      </c>
      <c r="V174" s="7">
        <v>0.4</v>
      </c>
      <c r="W174" s="7">
        <v>3</v>
      </c>
      <c r="X174" s="7">
        <v>3.4</v>
      </c>
      <c r="Y174" s="7">
        <v>3.4</v>
      </c>
      <c r="Z174" s="7">
        <v>1.1000000000000001</v>
      </c>
      <c r="AA174" s="7">
        <v>0.2</v>
      </c>
      <c r="AB174" s="7">
        <v>1.6</v>
      </c>
      <c r="AC174" s="7">
        <v>1.6</v>
      </c>
      <c r="AD174" s="7">
        <v>10</v>
      </c>
    </row>
    <row r="175" spans="1:30" x14ac:dyDescent="0.25">
      <c r="A175" s="5">
        <v>1740</v>
      </c>
      <c r="B175" s="5" t="s">
        <v>236</v>
      </c>
      <c r="C175" s="5">
        <v>23</v>
      </c>
      <c r="D175" s="5" t="s">
        <v>51</v>
      </c>
      <c r="E175" s="5" t="s">
        <v>65</v>
      </c>
      <c r="F175" s="5">
        <v>34</v>
      </c>
      <c r="G175" s="5">
        <v>12</v>
      </c>
      <c r="H175" s="5">
        <v>22.3</v>
      </c>
      <c r="I175" s="5">
        <v>3.7</v>
      </c>
      <c r="J175" s="5">
        <v>7.9</v>
      </c>
      <c r="K175" s="6">
        <f>IFERROR(database_24_25!$I175/database_24_25!$J175,0)</f>
        <v>0.46835443037974683</v>
      </c>
      <c r="L175" s="5">
        <v>1.7</v>
      </c>
      <c r="M175" s="5">
        <v>4.7</v>
      </c>
      <c r="N175" s="6">
        <f>IFERROR(database_24_25!$L175/database_24_25!$M175,0)</f>
        <v>0.36170212765957444</v>
      </c>
      <c r="O175" s="5">
        <v>2</v>
      </c>
      <c r="P175" s="5">
        <f>database_24_25!$Q175/10</f>
        <v>3.2</v>
      </c>
      <c r="Q175" s="5">
        <v>32</v>
      </c>
      <c r="R175" s="6">
        <f>IFERROR(database_24_25!$O175/database_24_25!$P175,0)</f>
        <v>0.625</v>
      </c>
      <c r="S175" s="5">
        <v>0.9</v>
      </c>
      <c r="T175" s="5">
        <v>1.2</v>
      </c>
      <c r="U175" s="6">
        <f>IFERROR(database_24_25!$S175/database_24_25!$T175,0)</f>
        <v>0.75</v>
      </c>
      <c r="V175" s="5">
        <v>0.7</v>
      </c>
      <c r="W175" s="5">
        <v>2.8</v>
      </c>
      <c r="X175" s="5">
        <v>3.4</v>
      </c>
      <c r="Y175" s="5">
        <v>1.1000000000000001</v>
      </c>
      <c r="Z175" s="5">
        <v>0.4</v>
      </c>
      <c r="AA175" s="5">
        <v>0.1</v>
      </c>
      <c r="AB175" s="5">
        <v>0.6</v>
      </c>
      <c r="AC175" s="5">
        <v>1.4</v>
      </c>
      <c r="AD175" s="5">
        <v>10</v>
      </c>
    </row>
    <row r="176" spans="1:30" x14ac:dyDescent="0.25">
      <c r="A176" s="5">
        <v>1760</v>
      </c>
      <c r="B176" s="5" t="s">
        <v>238</v>
      </c>
      <c r="C176" s="5">
        <v>32</v>
      </c>
      <c r="D176" s="5" t="s">
        <v>77</v>
      </c>
      <c r="E176" s="5" t="s">
        <v>27</v>
      </c>
      <c r="F176" s="5">
        <v>31</v>
      </c>
      <c r="G176" s="5">
        <v>0</v>
      </c>
      <c r="H176" s="5">
        <v>17.5</v>
      </c>
      <c r="I176" s="5">
        <v>3.5</v>
      </c>
      <c r="J176" s="5">
        <v>7.6</v>
      </c>
      <c r="K176" s="6">
        <f>IFERROR(database_24_25!$I176/database_24_25!$J176,0)</f>
        <v>0.46052631578947373</v>
      </c>
      <c r="L176" s="5">
        <v>1.2</v>
      </c>
      <c r="M176" s="5">
        <v>3.8</v>
      </c>
      <c r="N176" s="6">
        <f>IFERROR(database_24_25!$L176/database_24_25!$M176,0)</f>
        <v>0.31578947368421051</v>
      </c>
      <c r="O176" s="5">
        <v>2.4</v>
      </c>
      <c r="P176" s="5">
        <f>database_24_25!$Q176/10</f>
        <v>3.9</v>
      </c>
      <c r="Q176" s="5">
        <v>39</v>
      </c>
      <c r="R176" s="6">
        <f>IFERROR(database_24_25!$O176/database_24_25!$P176,0)</f>
        <v>0.61538461538461542</v>
      </c>
      <c r="S176" s="5">
        <v>1.7</v>
      </c>
      <c r="T176" s="5">
        <v>2.2000000000000002</v>
      </c>
      <c r="U176" s="6">
        <f>IFERROR(database_24_25!$S176/database_24_25!$T176,0)</f>
        <v>0.7727272727272726</v>
      </c>
      <c r="V176" s="5">
        <v>1.3</v>
      </c>
      <c r="W176" s="5">
        <v>2.9</v>
      </c>
      <c r="X176" s="5">
        <v>4.2</v>
      </c>
      <c r="Y176" s="5">
        <v>0.7</v>
      </c>
      <c r="Z176" s="5">
        <v>0.6</v>
      </c>
      <c r="AA176" s="5">
        <v>0.6</v>
      </c>
      <c r="AB176" s="5">
        <v>0.7</v>
      </c>
      <c r="AC176" s="5">
        <v>1.4</v>
      </c>
      <c r="AD176" s="5">
        <v>9.9</v>
      </c>
    </row>
    <row r="177" spans="1:30" x14ac:dyDescent="0.25">
      <c r="A177" s="5">
        <v>1750</v>
      </c>
      <c r="B177" s="5" t="s">
        <v>237</v>
      </c>
      <c r="C177" s="5">
        <v>25</v>
      </c>
      <c r="D177" s="5" t="s">
        <v>39</v>
      </c>
      <c r="E177" s="5" t="s">
        <v>35</v>
      </c>
      <c r="F177" s="5">
        <v>31</v>
      </c>
      <c r="G177" s="5">
        <v>28</v>
      </c>
      <c r="H177" s="5">
        <v>24.8</v>
      </c>
      <c r="I177" s="5">
        <v>4.0999999999999996</v>
      </c>
      <c r="J177" s="5">
        <v>6.5</v>
      </c>
      <c r="K177" s="6">
        <f>IFERROR(database_24_25!$I177/database_24_25!$J177,0)</f>
        <v>0.63076923076923075</v>
      </c>
      <c r="L177" s="5">
        <v>0</v>
      </c>
      <c r="M177" s="5">
        <v>0.5</v>
      </c>
      <c r="N177" s="6">
        <f>IFERROR(database_24_25!$L177/database_24_25!$M177,0)</f>
        <v>0</v>
      </c>
      <c r="O177" s="5">
        <v>4.0999999999999996</v>
      </c>
      <c r="P177" s="5">
        <f>database_24_25!$Q177/10</f>
        <v>6</v>
      </c>
      <c r="Q177" s="5">
        <v>60</v>
      </c>
      <c r="R177" s="6">
        <f>IFERROR(database_24_25!$O177/database_24_25!$P177,0)</f>
        <v>0.68333333333333324</v>
      </c>
      <c r="S177" s="5">
        <v>1.6</v>
      </c>
      <c r="T177" s="5">
        <v>2.2999999999999998</v>
      </c>
      <c r="U177" s="6">
        <f>IFERROR(database_24_25!$S177/database_24_25!$T177,0)</f>
        <v>0.69565217391304357</v>
      </c>
      <c r="V177" s="5">
        <v>3</v>
      </c>
      <c r="W177" s="5">
        <v>5.5</v>
      </c>
      <c r="X177" s="5">
        <v>8.5</v>
      </c>
      <c r="Y177" s="5">
        <v>2.4</v>
      </c>
      <c r="Z177" s="5">
        <v>0.9</v>
      </c>
      <c r="AA177" s="5">
        <v>1.6</v>
      </c>
      <c r="AB177" s="5">
        <v>1.5</v>
      </c>
      <c r="AC177" s="5">
        <v>2.5</v>
      </c>
      <c r="AD177" s="5">
        <v>9.9</v>
      </c>
    </row>
    <row r="178" spans="1:30" x14ac:dyDescent="0.25">
      <c r="A178" s="7">
        <v>1780</v>
      </c>
      <c r="B178" s="7" t="s">
        <v>240</v>
      </c>
      <c r="C178" s="7">
        <v>24</v>
      </c>
      <c r="D178" s="7" t="s">
        <v>63</v>
      </c>
      <c r="E178" s="7" t="s">
        <v>27</v>
      </c>
      <c r="F178" s="7">
        <v>33</v>
      </c>
      <c r="G178" s="7">
        <v>33</v>
      </c>
      <c r="H178" s="7">
        <v>29.8</v>
      </c>
      <c r="I178" s="7">
        <v>3.9</v>
      </c>
      <c r="J178" s="7">
        <v>9.1</v>
      </c>
      <c r="K178" s="6">
        <f>IFERROR(database_24_25!$I178/database_24_25!$J178,0)</f>
        <v>0.4285714285714286</v>
      </c>
      <c r="L178" s="7">
        <v>1.2</v>
      </c>
      <c r="M178" s="7">
        <v>3.8</v>
      </c>
      <c r="N178" s="6">
        <f>IFERROR(database_24_25!$L178/database_24_25!$M178,0)</f>
        <v>0.31578947368421051</v>
      </c>
      <c r="O178" s="7">
        <v>2.7</v>
      </c>
      <c r="P178" s="5">
        <f>database_24_25!$Q178/10</f>
        <v>5.2</v>
      </c>
      <c r="Q178" s="7">
        <v>52</v>
      </c>
      <c r="R178" s="6">
        <f>IFERROR(database_24_25!$O178/database_24_25!$P178,0)</f>
        <v>0.51923076923076927</v>
      </c>
      <c r="S178" s="7">
        <v>0.8</v>
      </c>
      <c r="T178" s="7">
        <v>1.1000000000000001</v>
      </c>
      <c r="U178" s="6">
        <f>IFERROR(database_24_25!$S178/database_24_25!$T178,0)</f>
        <v>0.72727272727272729</v>
      </c>
      <c r="V178" s="7">
        <v>1.5</v>
      </c>
      <c r="W178" s="7">
        <v>3.2</v>
      </c>
      <c r="X178" s="7">
        <v>4.7</v>
      </c>
      <c r="Y178" s="7">
        <v>1.6</v>
      </c>
      <c r="Z178" s="7">
        <v>1.3</v>
      </c>
      <c r="AA178" s="7">
        <v>0.7</v>
      </c>
      <c r="AB178" s="7">
        <v>1.2</v>
      </c>
      <c r="AC178" s="7">
        <v>3</v>
      </c>
      <c r="AD178" s="7">
        <v>9.9</v>
      </c>
    </row>
    <row r="179" spans="1:30" x14ac:dyDescent="0.25">
      <c r="A179" s="5">
        <v>1770</v>
      </c>
      <c r="B179" s="5" t="s">
        <v>239</v>
      </c>
      <c r="C179" s="5">
        <v>25</v>
      </c>
      <c r="D179" s="5" t="s">
        <v>60</v>
      </c>
      <c r="E179" s="5" t="s">
        <v>35</v>
      </c>
      <c r="F179" s="5">
        <v>28</v>
      </c>
      <c r="G179" s="5">
        <v>20</v>
      </c>
      <c r="H179" s="5">
        <v>26</v>
      </c>
      <c r="I179" s="5">
        <v>4.3</v>
      </c>
      <c r="J179" s="5">
        <v>7.5</v>
      </c>
      <c r="K179" s="6">
        <f>IFERROR(database_24_25!$I179/database_24_25!$J179,0)</f>
        <v>0.57333333333333336</v>
      </c>
      <c r="L179" s="5">
        <v>0</v>
      </c>
      <c r="M179" s="5">
        <v>0.3</v>
      </c>
      <c r="N179" s="6">
        <f>IFERROR(database_24_25!$L179/database_24_25!$M179,0)</f>
        <v>0</v>
      </c>
      <c r="O179" s="5">
        <v>4.2</v>
      </c>
      <c r="P179" s="5">
        <f>database_24_25!$Q179/10</f>
        <v>7.2</v>
      </c>
      <c r="Q179" s="5">
        <v>72</v>
      </c>
      <c r="R179" s="6">
        <f>IFERROR(database_24_25!$O179/database_24_25!$P179,0)</f>
        <v>0.58333333333333337</v>
      </c>
      <c r="S179" s="5">
        <v>1.4</v>
      </c>
      <c r="T179" s="5">
        <v>2.5</v>
      </c>
      <c r="U179" s="6">
        <f>IFERROR(database_24_25!$S179/database_24_25!$T179,0)</f>
        <v>0.55999999999999994</v>
      </c>
      <c r="V179" s="5">
        <v>1.9</v>
      </c>
      <c r="W179" s="5">
        <v>5.8</v>
      </c>
      <c r="X179" s="5">
        <v>7.6</v>
      </c>
      <c r="Y179" s="5">
        <v>2</v>
      </c>
      <c r="Z179" s="5">
        <v>0.9</v>
      </c>
      <c r="AA179" s="5">
        <v>1.1000000000000001</v>
      </c>
      <c r="AB179" s="5">
        <v>1.3</v>
      </c>
      <c r="AC179" s="5">
        <v>2.2000000000000002</v>
      </c>
      <c r="AD179" s="5">
        <v>9.9</v>
      </c>
    </row>
    <row r="180" spans="1:30" x14ac:dyDescent="0.25">
      <c r="A180" s="5">
        <v>1820</v>
      </c>
      <c r="B180" s="5" t="s">
        <v>244</v>
      </c>
      <c r="C180" s="5">
        <v>29</v>
      </c>
      <c r="D180" s="5" t="s">
        <v>53</v>
      </c>
      <c r="E180" s="5" t="s">
        <v>27</v>
      </c>
      <c r="F180" s="5">
        <v>32</v>
      </c>
      <c r="G180" s="5">
        <v>11</v>
      </c>
      <c r="H180" s="5">
        <v>24.1</v>
      </c>
      <c r="I180" s="5">
        <v>3.6</v>
      </c>
      <c r="J180" s="5">
        <v>7</v>
      </c>
      <c r="K180" s="6">
        <f>IFERROR(database_24_25!$I180/database_24_25!$J180,0)</f>
        <v>0.51428571428571435</v>
      </c>
      <c r="L180" s="5">
        <v>1.5</v>
      </c>
      <c r="M180" s="5">
        <v>3.7</v>
      </c>
      <c r="N180" s="6">
        <f>IFERROR(database_24_25!$L180/database_24_25!$M180,0)</f>
        <v>0.40540540540540537</v>
      </c>
      <c r="O180" s="5">
        <v>2.1</v>
      </c>
      <c r="P180" s="5">
        <f>database_24_25!$Q180/10</f>
        <v>3.3</v>
      </c>
      <c r="Q180" s="5">
        <v>33</v>
      </c>
      <c r="R180" s="6">
        <f>IFERROR(database_24_25!$O180/database_24_25!$P180,0)</f>
        <v>0.63636363636363646</v>
      </c>
      <c r="S180" s="5">
        <v>1.3</v>
      </c>
      <c r="T180" s="5">
        <v>1.8</v>
      </c>
      <c r="U180" s="6">
        <f>IFERROR(database_24_25!$S180/database_24_25!$T180,0)</f>
        <v>0.72222222222222221</v>
      </c>
      <c r="V180" s="5">
        <v>1.6</v>
      </c>
      <c r="W180" s="5">
        <v>3.5</v>
      </c>
      <c r="X180" s="5">
        <v>5.0999999999999996</v>
      </c>
      <c r="Y180" s="5">
        <v>1.8</v>
      </c>
      <c r="Z180" s="5">
        <v>0.7</v>
      </c>
      <c r="AA180" s="5">
        <v>0.4</v>
      </c>
      <c r="AB180" s="5">
        <v>1.3</v>
      </c>
      <c r="AC180" s="5">
        <v>2.5</v>
      </c>
      <c r="AD180" s="5">
        <v>9.8000000000000007</v>
      </c>
    </row>
    <row r="181" spans="1:30" x14ac:dyDescent="0.25">
      <c r="A181" s="7">
        <v>1790</v>
      </c>
      <c r="B181" s="7" t="s">
        <v>241</v>
      </c>
      <c r="C181" s="7">
        <v>25</v>
      </c>
      <c r="D181" s="7" t="s">
        <v>31</v>
      </c>
      <c r="E181" s="7" t="s">
        <v>65</v>
      </c>
      <c r="F181" s="7">
        <v>33</v>
      </c>
      <c r="G181" s="7">
        <v>33</v>
      </c>
      <c r="H181" s="7">
        <v>29.4</v>
      </c>
      <c r="I181" s="7">
        <v>3.3</v>
      </c>
      <c r="J181" s="7">
        <v>8.1999999999999993</v>
      </c>
      <c r="K181" s="6">
        <f>IFERROR(database_24_25!$I181/database_24_25!$J181,0)</f>
        <v>0.40243902439024393</v>
      </c>
      <c r="L181" s="7">
        <v>2.2000000000000002</v>
      </c>
      <c r="M181" s="7">
        <v>5.6</v>
      </c>
      <c r="N181" s="6">
        <f>IFERROR(database_24_25!$L181/database_24_25!$M181,0)</f>
        <v>0.3928571428571429</v>
      </c>
      <c r="O181" s="7">
        <v>1.1000000000000001</v>
      </c>
      <c r="P181" s="5">
        <f>database_24_25!$Q181/10</f>
        <v>2.6</v>
      </c>
      <c r="Q181" s="7">
        <v>26</v>
      </c>
      <c r="R181" s="6">
        <f>IFERROR(database_24_25!$O181/database_24_25!$P181,0)</f>
        <v>0.42307692307692307</v>
      </c>
      <c r="S181" s="7">
        <v>0.8</v>
      </c>
      <c r="T181" s="7">
        <v>1.1000000000000001</v>
      </c>
      <c r="U181" s="6">
        <f>IFERROR(database_24_25!$S181/database_24_25!$T181,0)</f>
        <v>0.72727272727272729</v>
      </c>
      <c r="V181" s="7">
        <v>1.5</v>
      </c>
      <c r="W181" s="7">
        <v>3</v>
      </c>
      <c r="X181" s="7">
        <v>4.5</v>
      </c>
      <c r="Y181" s="7">
        <v>1.6</v>
      </c>
      <c r="Z181" s="7">
        <v>1.2</v>
      </c>
      <c r="AA181" s="7">
        <v>0.7</v>
      </c>
      <c r="AB181" s="7">
        <v>0.5</v>
      </c>
      <c r="AC181" s="7">
        <v>3.2</v>
      </c>
      <c r="AD181" s="7">
        <v>9.8000000000000007</v>
      </c>
    </row>
    <row r="182" spans="1:30" x14ac:dyDescent="0.25">
      <c r="A182" s="5">
        <v>1810</v>
      </c>
      <c r="B182" s="5" t="s">
        <v>243</v>
      </c>
      <c r="C182" s="5">
        <v>24</v>
      </c>
      <c r="D182" s="5" t="s">
        <v>55</v>
      </c>
      <c r="E182" s="5" t="s">
        <v>32</v>
      </c>
      <c r="F182" s="5">
        <v>28</v>
      </c>
      <c r="G182" s="5">
        <v>0</v>
      </c>
      <c r="H182" s="5">
        <v>24.5</v>
      </c>
      <c r="I182" s="5">
        <v>3.4</v>
      </c>
      <c r="J182" s="5">
        <v>8.1</v>
      </c>
      <c r="K182" s="6">
        <f>IFERROR(database_24_25!$I182/database_24_25!$J182,0)</f>
        <v>0.41975308641975312</v>
      </c>
      <c r="L182" s="5">
        <v>1.9</v>
      </c>
      <c r="M182" s="5">
        <v>4.7</v>
      </c>
      <c r="N182" s="6">
        <f>IFERROR(database_24_25!$L182/database_24_25!$M182,0)</f>
        <v>0.40425531914893614</v>
      </c>
      <c r="O182" s="5">
        <v>1.5</v>
      </c>
      <c r="P182" s="5">
        <f>database_24_25!$Q182/10</f>
        <v>3.4</v>
      </c>
      <c r="Q182" s="5">
        <v>34</v>
      </c>
      <c r="R182" s="6">
        <f>IFERROR(database_24_25!$O182/database_24_25!$P182,0)</f>
        <v>0.44117647058823528</v>
      </c>
      <c r="S182" s="5">
        <v>1</v>
      </c>
      <c r="T182" s="5">
        <v>1.3</v>
      </c>
      <c r="U182" s="6">
        <f>IFERROR(database_24_25!$S182/database_24_25!$T182,0)</f>
        <v>0.76923076923076916</v>
      </c>
      <c r="V182" s="5">
        <v>0.8</v>
      </c>
      <c r="W182" s="5">
        <v>1.9</v>
      </c>
      <c r="X182" s="5">
        <v>2.6</v>
      </c>
      <c r="Y182" s="5">
        <v>3</v>
      </c>
      <c r="Z182" s="5">
        <v>0.9</v>
      </c>
      <c r="AA182" s="5">
        <v>0.2</v>
      </c>
      <c r="AB182" s="5">
        <v>0.9</v>
      </c>
      <c r="AC182" s="5">
        <v>1.6</v>
      </c>
      <c r="AD182" s="5">
        <v>9.8000000000000007</v>
      </c>
    </row>
    <row r="183" spans="1:30" x14ac:dyDescent="0.25">
      <c r="A183" s="7">
        <v>1800</v>
      </c>
      <c r="B183" s="7" t="s">
        <v>242</v>
      </c>
      <c r="C183" s="7">
        <v>27</v>
      </c>
      <c r="D183" s="7" t="s">
        <v>75</v>
      </c>
      <c r="E183" s="7" t="s">
        <v>65</v>
      </c>
      <c r="F183" s="7">
        <v>32</v>
      </c>
      <c r="G183" s="7">
        <v>32</v>
      </c>
      <c r="H183" s="7">
        <v>24.7</v>
      </c>
      <c r="I183" s="7">
        <v>3.9</v>
      </c>
      <c r="J183" s="7">
        <v>7.8</v>
      </c>
      <c r="K183" s="6">
        <f>IFERROR(database_24_25!$I183/database_24_25!$J183,0)</f>
        <v>0.5</v>
      </c>
      <c r="L183" s="7">
        <v>1.1000000000000001</v>
      </c>
      <c r="M183" s="7">
        <v>2.9</v>
      </c>
      <c r="N183" s="6">
        <f>IFERROR(database_24_25!$L183/database_24_25!$M183,0)</f>
        <v>0.37931034482758624</v>
      </c>
      <c r="O183" s="7">
        <v>2.8</v>
      </c>
      <c r="P183" s="5">
        <f>database_24_25!$Q183/10</f>
        <v>4.9000000000000004</v>
      </c>
      <c r="Q183" s="7">
        <v>49</v>
      </c>
      <c r="R183" s="6">
        <f>IFERROR(database_24_25!$O183/database_24_25!$P183,0)</f>
        <v>0.5714285714285714</v>
      </c>
      <c r="S183" s="7">
        <v>1</v>
      </c>
      <c r="T183" s="7">
        <v>1.1000000000000001</v>
      </c>
      <c r="U183" s="6">
        <f>IFERROR(database_24_25!$S183/database_24_25!$T183,0)</f>
        <v>0.90909090909090906</v>
      </c>
      <c r="V183" s="7">
        <v>1.2</v>
      </c>
      <c r="W183" s="7">
        <v>2.2000000000000002</v>
      </c>
      <c r="X183" s="7">
        <v>3.4</v>
      </c>
      <c r="Y183" s="7">
        <v>0.9</v>
      </c>
      <c r="Z183" s="7">
        <v>1.3</v>
      </c>
      <c r="AA183" s="7">
        <v>0.3</v>
      </c>
      <c r="AB183" s="7">
        <v>1</v>
      </c>
      <c r="AC183" s="7">
        <v>2</v>
      </c>
      <c r="AD183" s="7">
        <v>9.8000000000000007</v>
      </c>
    </row>
    <row r="184" spans="1:30" x14ac:dyDescent="0.25">
      <c r="A184" s="5">
        <v>1860</v>
      </c>
      <c r="B184" s="5" t="s">
        <v>248</v>
      </c>
      <c r="C184" s="5">
        <v>26</v>
      </c>
      <c r="D184" s="5" t="s">
        <v>29</v>
      </c>
      <c r="E184" s="5" t="s">
        <v>58</v>
      </c>
      <c r="F184" s="5">
        <v>30</v>
      </c>
      <c r="G184" s="5">
        <v>7</v>
      </c>
      <c r="H184" s="5">
        <v>24.9</v>
      </c>
      <c r="I184" s="5">
        <v>3.3</v>
      </c>
      <c r="J184" s="5">
        <v>7.9</v>
      </c>
      <c r="K184" s="6">
        <f>IFERROR(database_24_25!$I184/database_24_25!$J184,0)</f>
        <v>0.41772151898734172</v>
      </c>
      <c r="L184" s="5">
        <v>2.1</v>
      </c>
      <c r="M184" s="5">
        <v>5.0999999999999996</v>
      </c>
      <c r="N184" s="6">
        <f>IFERROR(database_24_25!$L184/database_24_25!$M184,0)</f>
        <v>0.41176470588235298</v>
      </c>
      <c r="O184" s="5">
        <v>1.2</v>
      </c>
      <c r="P184" s="5">
        <f>database_24_25!$Q184/10</f>
        <v>2.8</v>
      </c>
      <c r="Q184" s="5">
        <v>28</v>
      </c>
      <c r="R184" s="6">
        <f>IFERROR(database_24_25!$O184/database_24_25!$P184,0)</f>
        <v>0.4285714285714286</v>
      </c>
      <c r="S184" s="5">
        <v>0.9</v>
      </c>
      <c r="T184" s="5">
        <v>1</v>
      </c>
      <c r="U184" s="6">
        <f>IFERROR(database_24_25!$S184/database_24_25!$T184,0)</f>
        <v>0.9</v>
      </c>
      <c r="V184" s="5">
        <v>0.2</v>
      </c>
      <c r="W184" s="5">
        <v>2</v>
      </c>
      <c r="X184" s="5">
        <v>2.2000000000000002</v>
      </c>
      <c r="Y184" s="5">
        <v>0.9</v>
      </c>
      <c r="Z184" s="5">
        <v>1</v>
      </c>
      <c r="AA184" s="5">
        <v>0</v>
      </c>
      <c r="AB184" s="5">
        <v>0.7</v>
      </c>
      <c r="AC184" s="5">
        <v>2</v>
      </c>
      <c r="AD184" s="5">
        <v>9.6</v>
      </c>
    </row>
    <row r="185" spans="1:30" x14ac:dyDescent="0.25">
      <c r="A185" s="5">
        <v>1850</v>
      </c>
      <c r="B185" s="5" t="s">
        <v>247</v>
      </c>
      <c r="C185" s="5">
        <v>24</v>
      </c>
      <c r="D185" s="5" t="s">
        <v>75</v>
      </c>
      <c r="E185" s="5" t="s">
        <v>58</v>
      </c>
      <c r="F185" s="5">
        <v>30</v>
      </c>
      <c r="G185" s="5">
        <v>1</v>
      </c>
      <c r="H185" s="5">
        <v>20</v>
      </c>
      <c r="I185" s="5">
        <v>3.9</v>
      </c>
      <c r="J185" s="5">
        <v>9.6</v>
      </c>
      <c r="K185" s="6">
        <f>IFERROR(database_24_25!$I185/database_24_25!$J185,0)</f>
        <v>0.40625</v>
      </c>
      <c r="L185" s="5">
        <v>0.6</v>
      </c>
      <c r="M185" s="5">
        <v>2.6</v>
      </c>
      <c r="N185" s="6">
        <f>IFERROR(database_24_25!$L185/database_24_25!$M185,0)</f>
        <v>0.23076923076923075</v>
      </c>
      <c r="O185" s="5">
        <v>3.2</v>
      </c>
      <c r="P185" s="5">
        <f>database_24_25!$Q185/10</f>
        <v>6.9</v>
      </c>
      <c r="Q185" s="5">
        <v>69</v>
      </c>
      <c r="R185" s="6">
        <f>IFERROR(database_24_25!$O185/database_24_25!$P185,0)</f>
        <v>0.46376811594202899</v>
      </c>
      <c r="S185" s="5">
        <v>1.3</v>
      </c>
      <c r="T185" s="5">
        <v>1.9</v>
      </c>
      <c r="U185" s="6">
        <f>IFERROR(database_24_25!$S185/database_24_25!$T185,0)</f>
        <v>0.68421052631578949</v>
      </c>
      <c r="V185" s="5">
        <v>0.7</v>
      </c>
      <c r="W185" s="5">
        <v>2.9</v>
      </c>
      <c r="X185" s="5">
        <v>3.6</v>
      </c>
      <c r="Y185" s="5">
        <v>3.1</v>
      </c>
      <c r="Z185" s="5">
        <v>0.9</v>
      </c>
      <c r="AA185" s="5">
        <v>0.3</v>
      </c>
      <c r="AB185" s="5">
        <v>2.2000000000000002</v>
      </c>
      <c r="AC185" s="5">
        <v>1.7</v>
      </c>
      <c r="AD185" s="5">
        <v>9.6</v>
      </c>
    </row>
    <row r="186" spans="1:30" x14ac:dyDescent="0.25">
      <c r="A186" s="7">
        <v>1840</v>
      </c>
      <c r="B186" s="7" t="s">
        <v>246</v>
      </c>
      <c r="C186" s="7">
        <v>21</v>
      </c>
      <c r="D186" s="7" t="s">
        <v>73</v>
      </c>
      <c r="E186" s="7" t="s">
        <v>35</v>
      </c>
      <c r="F186" s="7">
        <v>31</v>
      </c>
      <c r="G186" s="7">
        <v>31</v>
      </c>
      <c r="H186" s="7">
        <v>24.9</v>
      </c>
      <c r="I186" s="7">
        <v>4</v>
      </c>
      <c r="J186" s="7">
        <v>5.7</v>
      </c>
      <c r="K186" s="6">
        <f>IFERROR(database_24_25!$I186/database_24_25!$J186,0)</f>
        <v>0.70175438596491224</v>
      </c>
      <c r="L186" s="7">
        <v>0</v>
      </c>
      <c r="M186" s="7">
        <v>0</v>
      </c>
      <c r="N186" s="6">
        <f>IFERROR(database_24_25!$L186/database_24_25!$M186,0)</f>
        <v>0</v>
      </c>
      <c r="O186" s="7">
        <v>4</v>
      </c>
      <c r="P186" s="5">
        <f>database_24_25!$Q186/10</f>
        <v>5.7</v>
      </c>
      <c r="Q186" s="7">
        <v>57</v>
      </c>
      <c r="R186" s="6">
        <f>IFERROR(database_24_25!$O186/database_24_25!$P186,0)</f>
        <v>0.70175438596491224</v>
      </c>
      <c r="S186" s="7">
        <v>1.6</v>
      </c>
      <c r="T186" s="7">
        <v>2.7</v>
      </c>
      <c r="U186" s="6">
        <f>IFERROR(database_24_25!$S186/database_24_25!$T186,0)</f>
        <v>0.59259259259259256</v>
      </c>
      <c r="V186" s="7">
        <v>3.2</v>
      </c>
      <c r="W186" s="7">
        <v>6.2</v>
      </c>
      <c r="X186" s="7">
        <v>9.4</v>
      </c>
      <c r="Y186" s="7">
        <v>2.2000000000000002</v>
      </c>
      <c r="Z186" s="7">
        <v>0.5</v>
      </c>
      <c r="AA186" s="7">
        <v>1.2</v>
      </c>
      <c r="AB186" s="7">
        <v>1.9</v>
      </c>
      <c r="AC186" s="7">
        <v>3.2</v>
      </c>
      <c r="AD186" s="7">
        <v>9.6</v>
      </c>
    </row>
    <row r="187" spans="1:30" x14ac:dyDescent="0.25">
      <c r="A187" s="7">
        <v>1830</v>
      </c>
      <c r="B187" s="7" t="s">
        <v>245</v>
      </c>
      <c r="C187" s="7">
        <v>31</v>
      </c>
      <c r="D187" s="7" t="s">
        <v>146</v>
      </c>
      <c r="E187" s="7" t="s">
        <v>27</v>
      </c>
      <c r="F187" s="7">
        <v>23</v>
      </c>
      <c r="G187" s="7">
        <v>20</v>
      </c>
      <c r="H187" s="7">
        <v>28.1</v>
      </c>
      <c r="I187" s="7">
        <v>3.4</v>
      </c>
      <c r="J187" s="7">
        <v>7.6</v>
      </c>
      <c r="K187" s="6">
        <f>IFERROR(database_24_25!$I187/database_24_25!$J187,0)</f>
        <v>0.44736842105263158</v>
      </c>
      <c r="L187" s="7">
        <v>2.2000000000000002</v>
      </c>
      <c r="M187" s="7">
        <v>5.0999999999999996</v>
      </c>
      <c r="N187" s="6">
        <f>IFERROR(database_24_25!$L187/database_24_25!$M187,0)</f>
        <v>0.43137254901960792</v>
      </c>
      <c r="O187" s="7">
        <v>1.2</v>
      </c>
      <c r="P187" s="5">
        <f>database_24_25!$Q187/10</f>
        <v>2.5</v>
      </c>
      <c r="Q187" s="7">
        <v>25</v>
      </c>
      <c r="R187" s="6">
        <f>IFERROR(database_24_25!$O187/database_24_25!$P187,0)</f>
        <v>0.48</v>
      </c>
      <c r="S187" s="7">
        <v>0.7</v>
      </c>
      <c r="T187" s="7">
        <v>1</v>
      </c>
      <c r="U187" s="6">
        <f>IFERROR(database_24_25!$S187/database_24_25!$T187,0)</f>
        <v>0.7</v>
      </c>
      <c r="V187" s="7">
        <v>1.7</v>
      </c>
      <c r="W187" s="7">
        <v>2.8</v>
      </c>
      <c r="X187" s="7">
        <v>4.4000000000000004</v>
      </c>
      <c r="Y187" s="7">
        <v>1.5</v>
      </c>
      <c r="Z187" s="7">
        <v>0.8</v>
      </c>
      <c r="AA187" s="7">
        <v>0.5</v>
      </c>
      <c r="AB187" s="7">
        <v>0.8</v>
      </c>
      <c r="AC187" s="7">
        <v>2.8</v>
      </c>
      <c r="AD187" s="7">
        <v>9.6</v>
      </c>
    </row>
    <row r="188" spans="1:30" x14ac:dyDescent="0.25">
      <c r="A188" s="7">
        <v>1870</v>
      </c>
      <c r="B188" s="7" t="s">
        <v>249</v>
      </c>
      <c r="C188" s="7">
        <v>32</v>
      </c>
      <c r="D188" s="7" t="s">
        <v>84</v>
      </c>
      <c r="E188" s="7" t="s">
        <v>27</v>
      </c>
      <c r="F188" s="7">
        <v>15</v>
      </c>
      <c r="G188" s="7">
        <v>2</v>
      </c>
      <c r="H188" s="7">
        <v>19.399999999999999</v>
      </c>
      <c r="I188" s="7">
        <v>3.7</v>
      </c>
      <c r="J188" s="7">
        <v>6.3</v>
      </c>
      <c r="K188" s="6">
        <f>IFERROR(database_24_25!$I188/database_24_25!$J188,0)</f>
        <v>0.58730158730158732</v>
      </c>
      <c r="L188" s="7">
        <v>1.7</v>
      </c>
      <c r="M188" s="7">
        <v>3.3</v>
      </c>
      <c r="N188" s="6">
        <f>IFERROR(database_24_25!$L188/database_24_25!$M188,0)</f>
        <v>0.51515151515151514</v>
      </c>
      <c r="O188" s="7">
        <v>1.9</v>
      </c>
      <c r="P188" s="5">
        <f>database_24_25!$Q188/10</f>
        <v>2.9</v>
      </c>
      <c r="Q188" s="7">
        <v>29</v>
      </c>
      <c r="R188" s="6">
        <f>IFERROR(database_24_25!$O188/database_24_25!$P188,0)</f>
        <v>0.65517241379310343</v>
      </c>
      <c r="S188" s="7">
        <v>0.5</v>
      </c>
      <c r="T188" s="7">
        <v>0.5</v>
      </c>
      <c r="U188" s="6">
        <f>IFERROR(database_24_25!$S188/database_24_25!$T188,0)</f>
        <v>1</v>
      </c>
      <c r="V188" s="7">
        <v>1.1000000000000001</v>
      </c>
      <c r="W188" s="7">
        <v>3.2</v>
      </c>
      <c r="X188" s="7">
        <v>4.3</v>
      </c>
      <c r="Y188" s="7">
        <v>1.6</v>
      </c>
      <c r="Z188" s="7">
        <v>1.1000000000000001</v>
      </c>
      <c r="AA188" s="7">
        <v>0.7</v>
      </c>
      <c r="AB188" s="7">
        <v>0.7</v>
      </c>
      <c r="AC188" s="7">
        <v>1.5</v>
      </c>
      <c r="AD188" s="7">
        <v>9.5</v>
      </c>
    </row>
    <row r="189" spans="1:30" x14ac:dyDescent="0.25">
      <c r="A189" s="5">
        <v>1900</v>
      </c>
      <c r="B189" s="5" t="s">
        <v>252</v>
      </c>
      <c r="C189" s="5">
        <v>39</v>
      </c>
      <c r="D189" s="5" t="s">
        <v>49</v>
      </c>
      <c r="E189" s="5" t="s">
        <v>32</v>
      </c>
      <c r="F189" s="5">
        <v>34</v>
      </c>
      <c r="G189" s="5">
        <v>34</v>
      </c>
      <c r="H189" s="5">
        <v>28.9</v>
      </c>
      <c r="I189" s="5">
        <v>3.1</v>
      </c>
      <c r="J189" s="5">
        <v>7.5</v>
      </c>
      <c r="K189" s="6">
        <f>IFERROR(database_24_25!$I189/database_24_25!$J189,0)</f>
        <v>0.41333333333333333</v>
      </c>
      <c r="L189" s="5">
        <v>1.7</v>
      </c>
      <c r="M189" s="5">
        <v>4.8</v>
      </c>
      <c r="N189" s="6">
        <f>IFERROR(database_24_25!$L189/database_24_25!$M189,0)</f>
        <v>0.35416666666666669</v>
      </c>
      <c r="O189" s="5">
        <v>1.4</v>
      </c>
      <c r="P189" s="5">
        <f>database_24_25!$Q189/10</f>
        <v>2.7</v>
      </c>
      <c r="Q189" s="5">
        <v>27</v>
      </c>
      <c r="R189" s="6">
        <f>IFERROR(database_24_25!$O189/database_24_25!$P189,0)</f>
        <v>0.51851851851851849</v>
      </c>
      <c r="S189" s="5">
        <v>1.4</v>
      </c>
      <c r="T189" s="5">
        <v>1.5</v>
      </c>
      <c r="U189" s="6">
        <f>IFERROR(database_24_25!$S189/database_24_25!$T189,0)</f>
        <v>0.93333333333333324</v>
      </c>
      <c r="V189" s="5">
        <v>0.5</v>
      </c>
      <c r="W189" s="5">
        <v>3.9</v>
      </c>
      <c r="X189" s="5">
        <v>4.4000000000000004</v>
      </c>
      <c r="Y189" s="5">
        <v>8.4</v>
      </c>
      <c r="Z189" s="5">
        <v>1.5</v>
      </c>
      <c r="AA189" s="5">
        <v>0.2</v>
      </c>
      <c r="AB189" s="5">
        <v>1.7</v>
      </c>
      <c r="AC189" s="5">
        <v>1.8</v>
      </c>
      <c r="AD189" s="5">
        <v>9.4</v>
      </c>
    </row>
    <row r="190" spans="1:30" x14ac:dyDescent="0.25">
      <c r="A190" s="5">
        <v>1890</v>
      </c>
      <c r="B190" s="5" t="s">
        <v>251</v>
      </c>
      <c r="C190" s="5">
        <v>20</v>
      </c>
      <c r="D190" s="5" t="s">
        <v>81</v>
      </c>
      <c r="E190" s="5" t="s">
        <v>35</v>
      </c>
      <c r="F190" s="5">
        <v>34</v>
      </c>
      <c r="G190" s="5">
        <v>28</v>
      </c>
      <c r="H190" s="5">
        <v>27.2</v>
      </c>
      <c r="I190" s="5">
        <v>3.8</v>
      </c>
      <c r="J190" s="5">
        <v>6.7</v>
      </c>
      <c r="K190" s="6">
        <f>IFERROR(database_24_25!$I190/database_24_25!$J190,0)</f>
        <v>0.56716417910447758</v>
      </c>
      <c r="L190" s="5">
        <v>0</v>
      </c>
      <c r="M190" s="5">
        <v>0</v>
      </c>
      <c r="N190" s="6">
        <f>IFERROR(database_24_25!$L190/database_24_25!$M190,0)</f>
        <v>0</v>
      </c>
      <c r="O190" s="5">
        <v>3.8</v>
      </c>
      <c r="P190" s="5">
        <f>database_24_25!$Q190/10</f>
        <v>6.7</v>
      </c>
      <c r="Q190" s="5">
        <v>67</v>
      </c>
      <c r="R190" s="6">
        <f>IFERROR(database_24_25!$O190/database_24_25!$P190,0)</f>
        <v>0.56716417910447758</v>
      </c>
      <c r="S190" s="5">
        <v>1.9</v>
      </c>
      <c r="T190" s="5">
        <v>2.9</v>
      </c>
      <c r="U190" s="6">
        <f>IFERROR(database_24_25!$S190/database_24_25!$T190,0)</f>
        <v>0.65517241379310343</v>
      </c>
      <c r="V190" s="5">
        <v>3.9</v>
      </c>
      <c r="W190" s="5">
        <v>4.5999999999999996</v>
      </c>
      <c r="X190" s="5">
        <v>8.5</v>
      </c>
      <c r="Y190" s="5">
        <v>1.5</v>
      </c>
      <c r="Z190" s="5">
        <v>0.6</v>
      </c>
      <c r="AA190" s="5">
        <v>1.4</v>
      </c>
      <c r="AB190" s="5">
        <v>1.2</v>
      </c>
      <c r="AC190" s="5">
        <v>2.2999999999999998</v>
      </c>
      <c r="AD190" s="5">
        <v>9.4</v>
      </c>
    </row>
    <row r="191" spans="1:30" x14ac:dyDescent="0.25">
      <c r="A191" s="7">
        <v>1880</v>
      </c>
      <c r="B191" s="7" t="s">
        <v>250</v>
      </c>
      <c r="C191" s="7">
        <v>30</v>
      </c>
      <c r="D191" s="7" t="s">
        <v>84</v>
      </c>
      <c r="E191" s="7" t="s">
        <v>35</v>
      </c>
      <c r="F191" s="7">
        <v>35</v>
      </c>
      <c r="G191" s="7">
        <v>35</v>
      </c>
      <c r="H191" s="7">
        <v>22.9</v>
      </c>
      <c r="I191" s="7">
        <v>4.2</v>
      </c>
      <c r="J191" s="7">
        <v>7.3</v>
      </c>
      <c r="K191" s="6">
        <f>IFERROR(database_24_25!$I191/database_24_25!$J191,0)</f>
        <v>0.57534246575342474</v>
      </c>
      <c r="L191" s="7">
        <v>0</v>
      </c>
      <c r="M191" s="7">
        <v>0</v>
      </c>
      <c r="N191" s="6">
        <f>IFERROR(database_24_25!$L191/database_24_25!$M191,0)</f>
        <v>0</v>
      </c>
      <c r="O191" s="7">
        <v>4.2</v>
      </c>
      <c r="P191" s="5">
        <f>database_24_25!$Q191/10</f>
        <v>7.3</v>
      </c>
      <c r="Q191" s="7">
        <v>73</v>
      </c>
      <c r="R191" s="6">
        <f>IFERROR(database_24_25!$O191/database_24_25!$P191,0)</f>
        <v>0.57534246575342474</v>
      </c>
      <c r="S191" s="7">
        <v>1</v>
      </c>
      <c r="T191" s="7">
        <v>1.9</v>
      </c>
      <c r="U191" s="6">
        <f>IFERROR(database_24_25!$S191/database_24_25!$T191,0)</f>
        <v>0.52631578947368418</v>
      </c>
      <c r="V191" s="7">
        <v>3.3</v>
      </c>
      <c r="W191" s="7">
        <v>5.7</v>
      </c>
      <c r="X191" s="7">
        <v>9</v>
      </c>
      <c r="Y191" s="7">
        <v>1.3</v>
      </c>
      <c r="Z191" s="7">
        <v>0.6</v>
      </c>
      <c r="AA191" s="7">
        <v>0.9</v>
      </c>
      <c r="AB191" s="7">
        <v>0.9</v>
      </c>
      <c r="AC191" s="7">
        <v>2</v>
      </c>
      <c r="AD191" s="7">
        <v>9.4</v>
      </c>
    </row>
    <row r="192" spans="1:30" x14ac:dyDescent="0.25">
      <c r="A192" s="5">
        <v>1910</v>
      </c>
      <c r="B192" s="5" t="s">
        <v>253</v>
      </c>
      <c r="C192" s="5">
        <v>27</v>
      </c>
      <c r="D192" s="5" t="s">
        <v>37</v>
      </c>
      <c r="E192" s="5" t="s">
        <v>35</v>
      </c>
      <c r="F192" s="5">
        <v>18</v>
      </c>
      <c r="G192" s="5">
        <v>9</v>
      </c>
      <c r="H192" s="5">
        <v>21.6</v>
      </c>
      <c r="I192" s="5">
        <v>3.2</v>
      </c>
      <c r="J192" s="5">
        <v>5.7</v>
      </c>
      <c r="K192" s="6">
        <f>IFERROR(database_24_25!$I192/database_24_25!$J192,0)</f>
        <v>0.56140350877192979</v>
      </c>
      <c r="L192" s="5">
        <v>0</v>
      </c>
      <c r="M192" s="5">
        <v>0.1</v>
      </c>
      <c r="N192" s="6">
        <f>IFERROR(database_24_25!$L192/database_24_25!$M192,0)</f>
        <v>0</v>
      </c>
      <c r="O192" s="5">
        <v>3.2</v>
      </c>
      <c r="P192" s="5">
        <f>database_24_25!$Q192/10</f>
        <v>5.6</v>
      </c>
      <c r="Q192" s="5">
        <v>56</v>
      </c>
      <c r="R192" s="6">
        <f>IFERROR(database_24_25!$O192/database_24_25!$P192,0)</f>
        <v>0.57142857142857151</v>
      </c>
      <c r="S192" s="5">
        <v>2.9</v>
      </c>
      <c r="T192" s="5">
        <v>4.4000000000000004</v>
      </c>
      <c r="U192" s="6">
        <f>IFERROR(database_24_25!$S192/database_24_25!$T192,0)</f>
        <v>0.65909090909090906</v>
      </c>
      <c r="V192" s="5">
        <v>2.2999999999999998</v>
      </c>
      <c r="W192" s="5">
        <v>5.3</v>
      </c>
      <c r="X192" s="5">
        <v>7.6</v>
      </c>
      <c r="Y192" s="5">
        <v>1.4</v>
      </c>
      <c r="Z192" s="5">
        <v>0.3</v>
      </c>
      <c r="AA192" s="5">
        <v>1.3</v>
      </c>
      <c r="AB192" s="5">
        <v>1.7</v>
      </c>
      <c r="AC192" s="5">
        <v>2.6</v>
      </c>
      <c r="AD192" s="5">
        <v>9.3000000000000007</v>
      </c>
    </row>
    <row r="193" spans="1:30" x14ac:dyDescent="0.25">
      <c r="A193" s="7">
        <v>1920</v>
      </c>
      <c r="B193" s="7" t="s">
        <v>254</v>
      </c>
      <c r="C193" s="7">
        <v>24</v>
      </c>
      <c r="D193" s="7" t="s">
        <v>60</v>
      </c>
      <c r="E193" s="7" t="s">
        <v>27</v>
      </c>
      <c r="F193" s="7">
        <v>33</v>
      </c>
      <c r="G193" s="7">
        <v>8</v>
      </c>
      <c r="H193" s="7">
        <v>26.8</v>
      </c>
      <c r="I193" s="7">
        <v>3.1</v>
      </c>
      <c r="J193" s="7">
        <v>7.9</v>
      </c>
      <c r="K193" s="6">
        <f>IFERROR(database_24_25!$I193/database_24_25!$J193,0)</f>
        <v>0.39240506329113922</v>
      </c>
      <c r="L193" s="7">
        <v>1.4</v>
      </c>
      <c r="M193" s="7">
        <v>4.3</v>
      </c>
      <c r="N193" s="6">
        <f>IFERROR(database_24_25!$L193/database_24_25!$M193,0)</f>
        <v>0.32558139534883718</v>
      </c>
      <c r="O193" s="7">
        <v>1.7</v>
      </c>
      <c r="P193" s="5">
        <f>database_24_25!$Q193/10</f>
        <v>3.6</v>
      </c>
      <c r="Q193" s="7">
        <v>36</v>
      </c>
      <c r="R193" s="6">
        <f>IFERROR(database_24_25!$O193/database_24_25!$P193,0)</f>
        <v>0.47222222222222221</v>
      </c>
      <c r="S193" s="7">
        <v>1.6</v>
      </c>
      <c r="T193" s="7">
        <v>1.9</v>
      </c>
      <c r="U193" s="6">
        <f>IFERROR(database_24_25!$S193/database_24_25!$T193,0)</f>
        <v>0.8421052631578948</v>
      </c>
      <c r="V193" s="7">
        <v>1</v>
      </c>
      <c r="W193" s="7">
        <v>2.2999999999999998</v>
      </c>
      <c r="X193" s="7">
        <v>3.3</v>
      </c>
      <c r="Y193" s="7">
        <v>1.8</v>
      </c>
      <c r="Z193" s="7">
        <v>0.5</v>
      </c>
      <c r="AA193" s="7">
        <v>0</v>
      </c>
      <c r="AB193" s="7">
        <v>1</v>
      </c>
      <c r="AC193" s="7">
        <v>2.2999999999999998</v>
      </c>
      <c r="AD193" s="7">
        <v>9.3000000000000007</v>
      </c>
    </row>
    <row r="194" spans="1:30" x14ac:dyDescent="0.25">
      <c r="A194" s="7">
        <v>1940</v>
      </c>
      <c r="B194" s="7" t="s">
        <v>256</v>
      </c>
      <c r="C194" s="7">
        <v>25</v>
      </c>
      <c r="D194" s="7" t="s">
        <v>124</v>
      </c>
      <c r="E194" s="7" t="s">
        <v>32</v>
      </c>
      <c r="F194" s="7">
        <v>26</v>
      </c>
      <c r="G194" s="7">
        <v>0</v>
      </c>
      <c r="H194" s="7">
        <v>16.100000000000001</v>
      </c>
      <c r="I194" s="7">
        <v>3.3</v>
      </c>
      <c r="J194" s="7">
        <v>7.9</v>
      </c>
      <c r="K194" s="6">
        <f>IFERROR(database_24_25!$I194/database_24_25!$J194,0)</f>
        <v>0.41772151898734172</v>
      </c>
      <c r="L194" s="7">
        <v>1.2</v>
      </c>
      <c r="M194" s="7">
        <v>3.3</v>
      </c>
      <c r="N194" s="6">
        <f>IFERROR(database_24_25!$L194/database_24_25!$M194,0)</f>
        <v>0.36363636363636365</v>
      </c>
      <c r="O194" s="7">
        <v>2.1</v>
      </c>
      <c r="P194" s="5">
        <f>database_24_25!$Q194/10</f>
        <v>4.5999999999999996</v>
      </c>
      <c r="Q194" s="7">
        <v>46</v>
      </c>
      <c r="R194" s="6">
        <f>IFERROR(database_24_25!$O194/database_24_25!$P194,0)</f>
        <v>0.45652173913043481</v>
      </c>
      <c r="S194" s="7">
        <v>1.4</v>
      </c>
      <c r="T194" s="7">
        <v>2.2000000000000002</v>
      </c>
      <c r="U194" s="6">
        <f>IFERROR(database_24_25!$S194/database_24_25!$T194,0)</f>
        <v>0.63636363636363624</v>
      </c>
      <c r="V194" s="7">
        <v>0.3</v>
      </c>
      <c r="W194" s="7">
        <v>1.8</v>
      </c>
      <c r="X194" s="7">
        <v>2.2000000000000002</v>
      </c>
      <c r="Y194" s="7">
        <v>2.5</v>
      </c>
      <c r="Z194" s="7">
        <v>0.8</v>
      </c>
      <c r="AA194" s="7">
        <v>0.5</v>
      </c>
      <c r="AB194" s="7">
        <v>1.7</v>
      </c>
      <c r="AC194" s="7">
        <v>1</v>
      </c>
      <c r="AD194" s="7">
        <v>9.1999999999999993</v>
      </c>
    </row>
    <row r="195" spans="1:30" x14ac:dyDescent="0.25">
      <c r="A195" s="5">
        <v>1950</v>
      </c>
      <c r="B195" s="5" t="s">
        <v>257</v>
      </c>
      <c r="C195" s="5">
        <v>31</v>
      </c>
      <c r="D195" s="5" t="s">
        <v>39</v>
      </c>
      <c r="E195" s="5" t="s">
        <v>58</v>
      </c>
      <c r="F195" s="5">
        <v>35</v>
      </c>
      <c r="G195" s="5">
        <v>35</v>
      </c>
      <c r="H195" s="5">
        <v>31.1</v>
      </c>
      <c r="I195" s="5">
        <v>3.2</v>
      </c>
      <c r="J195" s="5">
        <v>7.7</v>
      </c>
      <c r="K195" s="6">
        <f>IFERROR(database_24_25!$I195/database_24_25!$J195,0)</f>
        <v>0.41558441558441561</v>
      </c>
      <c r="L195" s="5">
        <v>1.5</v>
      </c>
      <c r="M195" s="5">
        <v>4.9000000000000004</v>
      </c>
      <c r="N195" s="6">
        <f>IFERROR(database_24_25!$L195/database_24_25!$M195,0)</f>
        <v>0.30612244897959179</v>
      </c>
      <c r="O195" s="5">
        <v>1.7</v>
      </c>
      <c r="P195" s="5">
        <f>database_24_25!$Q195/10</f>
        <v>2.7</v>
      </c>
      <c r="Q195" s="5">
        <v>27</v>
      </c>
      <c r="R195" s="6">
        <f>IFERROR(database_24_25!$O195/database_24_25!$P195,0)</f>
        <v>0.62962962962962954</v>
      </c>
      <c r="S195" s="5">
        <v>1.4</v>
      </c>
      <c r="T195" s="5">
        <v>1.5</v>
      </c>
      <c r="U195" s="6">
        <f>IFERROR(database_24_25!$S195/database_24_25!$T195,0)</f>
        <v>0.93333333333333324</v>
      </c>
      <c r="V195" s="5">
        <v>0.3</v>
      </c>
      <c r="W195" s="5">
        <v>1.7</v>
      </c>
      <c r="X195" s="5">
        <v>2</v>
      </c>
      <c r="Y195" s="5">
        <v>2</v>
      </c>
      <c r="Z195" s="5">
        <v>1.7</v>
      </c>
      <c r="AA195" s="5">
        <v>0.7</v>
      </c>
      <c r="AB195" s="5">
        <v>0.8</v>
      </c>
      <c r="AC195" s="5">
        <v>2</v>
      </c>
      <c r="AD195" s="5">
        <v>9.1999999999999993</v>
      </c>
    </row>
    <row r="196" spans="1:30" x14ac:dyDescent="0.25">
      <c r="A196" s="5">
        <v>1980</v>
      </c>
      <c r="B196" s="5" t="s">
        <v>260</v>
      </c>
      <c r="C196" s="5">
        <v>26</v>
      </c>
      <c r="D196" s="5" t="s">
        <v>31</v>
      </c>
      <c r="E196" s="5" t="s">
        <v>58</v>
      </c>
      <c r="F196" s="5">
        <v>34</v>
      </c>
      <c r="G196" s="5">
        <v>10</v>
      </c>
      <c r="H196" s="5">
        <v>20.100000000000001</v>
      </c>
      <c r="I196" s="5">
        <v>3.6</v>
      </c>
      <c r="J196" s="5">
        <v>7.6</v>
      </c>
      <c r="K196" s="6">
        <f>IFERROR(database_24_25!$I196/database_24_25!$J196,0)</f>
        <v>0.47368421052631582</v>
      </c>
      <c r="L196" s="5">
        <v>1.4</v>
      </c>
      <c r="M196" s="5">
        <v>3.7</v>
      </c>
      <c r="N196" s="6">
        <f>IFERROR(database_24_25!$L196/database_24_25!$M196,0)</f>
        <v>0.37837837837837834</v>
      </c>
      <c r="O196" s="5">
        <v>2.1</v>
      </c>
      <c r="P196" s="5">
        <f>database_24_25!$Q196/10</f>
        <v>4</v>
      </c>
      <c r="Q196" s="5">
        <v>40</v>
      </c>
      <c r="R196" s="6">
        <f>IFERROR(database_24_25!$O196/database_24_25!$P196,0)</f>
        <v>0.52500000000000002</v>
      </c>
      <c r="S196" s="5">
        <v>0.6</v>
      </c>
      <c r="T196" s="5">
        <v>0.7</v>
      </c>
      <c r="U196" s="6">
        <f>IFERROR(database_24_25!$S196/database_24_25!$T196,0)</f>
        <v>0.85714285714285721</v>
      </c>
      <c r="V196" s="5">
        <v>0.9</v>
      </c>
      <c r="W196" s="5">
        <v>2.4</v>
      </c>
      <c r="X196" s="5">
        <v>3.3</v>
      </c>
      <c r="Y196" s="5">
        <v>1.4</v>
      </c>
      <c r="Z196" s="5">
        <v>0.9</v>
      </c>
      <c r="AA196" s="5">
        <v>0.3</v>
      </c>
      <c r="AB196" s="5">
        <v>0.8</v>
      </c>
      <c r="AC196" s="5">
        <v>1.1000000000000001</v>
      </c>
      <c r="AD196" s="5">
        <v>9.1999999999999993</v>
      </c>
    </row>
    <row r="197" spans="1:30" x14ac:dyDescent="0.25">
      <c r="A197" s="5">
        <v>1930</v>
      </c>
      <c r="B197" s="5" t="s">
        <v>255</v>
      </c>
      <c r="C197" s="5">
        <v>26</v>
      </c>
      <c r="D197" s="5" t="s">
        <v>63</v>
      </c>
      <c r="E197" s="5" t="s">
        <v>58</v>
      </c>
      <c r="F197" s="5">
        <v>33</v>
      </c>
      <c r="G197" s="5">
        <v>2</v>
      </c>
      <c r="H197" s="5">
        <v>23.1</v>
      </c>
      <c r="I197" s="5">
        <v>3.3</v>
      </c>
      <c r="J197" s="5">
        <v>6.6</v>
      </c>
      <c r="K197" s="6">
        <f>IFERROR(database_24_25!$I197/database_24_25!$J197,0)</f>
        <v>0.5</v>
      </c>
      <c r="L197" s="5">
        <v>1.7</v>
      </c>
      <c r="M197" s="5">
        <v>3.8</v>
      </c>
      <c r="N197" s="6">
        <f>IFERROR(database_24_25!$L197/database_24_25!$M197,0)</f>
        <v>0.44736842105263158</v>
      </c>
      <c r="O197" s="5">
        <v>1.6</v>
      </c>
      <c r="P197" s="5">
        <f>database_24_25!$Q197/10</f>
        <v>2.8</v>
      </c>
      <c r="Q197" s="5">
        <v>28</v>
      </c>
      <c r="R197" s="6">
        <f>IFERROR(database_24_25!$O197/database_24_25!$P197,0)</f>
        <v>0.57142857142857151</v>
      </c>
      <c r="S197" s="5">
        <v>0.8</v>
      </c>
      <c r="T197" s="5">
        <v>1.1000000000000001</v>
      </c>
      <c r="U197" s="6">
        <f>IFERROR(database_24_25!$S197/database_24_25!$T197,0)</f>
        <v>0.72727272727272729</v>
      </c>
      <c r="V197" s="5">
        <v>0.5</v>
      </c>
      <c r="W197" s="5">
        <v>2.2999999999999998</v>
      </c>
      <c r="X197" s="5">
        <v>2.8</v>
      </c>
      <c r="Y197" s="5">
        <v>2.4</v>
      </c>
      <c r="Z197" s="5">
        <v>0.8</v>
      </c>
      <c r="AA197" s="5">
        <v>0.3</v>
      </c>
      <c r="AB197" s="5">
        <v>1.4</v>
      </c>
      <c r="AC197" s="5">
        <v>1.6</v>
      </c>
      <c r="AD197" s="5">
        <v>9.1999999999999993</v>
      </c>
    </row>
    <row r="198" spans="1:30" x14ac:dyDescent="0.25">
      <c r="A198" s="7">
        <v>1970</v>
      </c>
      <c r="B198" s="7" t="s">
        <v>259</v>
      </c>
      <c r="C198" s="7">
        <v>30</v>
      </c>
      <c r="D198" s="7" t="s">
        <v>88</v>
      </c>
      <c r="E198" s="7" t="s">
        <v>32</v>
      </c>
      <c r="F198" s="7">
        <v>18</v>
      </c>
      <c r="G198" s="7">
        <v>6</v>
      </c>
      <c r="H198" s="7">
        <v>21.2</v>
      </c>
      <c r="I198" s="7">
        <v>2.9</v>
      </c>
      <c r="J198" s="7">
        <v>7.9</v>
      </c>
      <c r="K198" s="6">
        <f>IFERROR(database_24_25!$I198/database_24_25!$J198,0)</f>
        <v>0.36708860759493667</v>
      </c>
      <c r="L198" s="7">
        <v>1.6</v>
      </c>
      <c r="M198" s="7">
        <v>4.8</v>
      </c>
      <c r="N198" s="6">
        <f>IFERROR(database_24_25!$L198/database_24_25!$M198,0)</f>
        <v>0.33333333333333337</v>
      </c>
      <c r="O198" s="7">
        <v>1.3</v>
      </c>
      <c r="P198" s="5">
        <f>database_24_25!$Q198/10</f>
        <v>3.1</v>
      </c>
      <c r="Q198" s="7">
        <v>31</v>
      </c>
      <c r="R198" s="6">
        <f>IFERROR(database_24_25!$O198/database_24_25!$P198,0)</f>
        <v>0.41935483870967744</v>
      </c>
      <c r="S198" s="7">
        <v>1.7</v>
      </c>
      <c r="T198" s="7">
        <v>2</v>
      </c>
      <c r="U198" s="6">
        <f>IFERROR(database_24_25!$S198/database_24_25!$T198,0)</f>
        <v>0.85</v>
      </c>
      <c r="V198" s="7">
        <v>0.8</v>
      </c>
      <c r="W198" s="7">
        <v>1.6</v>
      </c>
      <c r="X198" s="7">
        <v>2.2999999999999998</v>
      </c>
      <c r="Y198" s="7">
        <v>3.8</v>
      </c>
      <c r="Z198" s="7">
        <v>1.3</v>
      </c>
      <c r="AA198" s="7">
        <v>0.3</v>
      </c>
      <c r="AB198" s="7">
        <v>1.9</v>
      </c>
      <c r="AC198" s="7">
        <v>1.7</v>
      </c>
      <c r="AD198" s="7">
        <v>9.1999999999999993</v>
      </c>
    </row>
    <row r="199" spans="1:30" x14ac:dyDescent="0.25">
      <c r="A199" s="7">
        <v>1960</v>
      </c>
      <c r="B199" s="7" t="s">
        <v>258</v>
      </c>
      <c r="C199" s="7">
        <v>25</v>
      </c>
      <c r="D199" s="7" t="s">
        <v>108</v>
      </c>
      <c r="E199" s="7" t="s">
        <v>65</v>
      </c>
      <c r="F199" s="7">
        <v>6</v>
      </c>
      <c r="G199" s="7">
        <v>6</v>
      </c>
      <c r="H199" s="7">
        <v>22.7</v>
      </c>
      <c r="I199" s="7">
        <v>3.2</v>
      </c>
      <c r="J199" s="7">
        <v>6</v>
      </c>
      <c r="K199" s="6">
        <f>IFERROR(database_24_25!$I199/database_24_25!$J199,0)</f>
        <v>0.53333333333333333</v>
      </c>
      <c r="L199" s="7">
        <v>1</v>
      </c>
      <c r="M199" s="7">
        <v>1.8</v>
      </c>
      <c r="N199" s="6">
        <f>IFERROR(database_24_25!$L199/database_24_25!$M199,0)</f>
        <v>0.55555555555555558</v>
      </c>
      <c r="O199" s="7">
        <v>2.2000000000000002</v>
      </c>
      <c r="P199" s="5">
        <f>database_24_25!$Q199/10</f>
        <v>4.2</v>
      </c>
      <c r="Q199" s="7">
        <v>42</v>
      </c>
      <c r="R199" s="6">
        <f>IFERROR(database_24_25!$O199/database_24_25!$P199,0)</f>
        <v>0.52380952380952384</v>
      </c>
      <c r="S199" s="7">
        <v>1.8</v>
      </c>
      <c r="T199" s="7">
        <v>2.2000000000000002</v>
      </c>
      <c r="U199" s="6">
        <f>IFERROR(database_24_25!$S199/database_24_25!$T199,0)</f>
        <v>0.81818181818181812</v>
      </c>
      <c r="V199" s="7">
        <v>0.7</v>
      </c>
      <c r="W199" s="7">
        <v>3.3</v>
      </c>
      <c r="X199" s="7">
        <v>4</v>
      </c>
      <c r="Y199" s="7">
        <v>1</v>
      </c>
      <c r="Z199" s="7">
        <v>0.7</v>
      </c>
      <c r="AA199" s="7">
        <v>0.3</v>
      </c>
      <c r="AB199" s="7">
        <v>0.8</v>
      </c>
      <c r="AC199" s="7">
        <v>4</v>
      </c>
      <c r="AD199" s="7">
        <v>9.1999999999999993</v>
      </c>
    </row>
    <row r="200" spans="1:30" x14ac:dyDescent="0.25">
      <c r="A200" s="5">
        <v>1990</v>
      </c>
      <c r="B200" s="5" t="s">
        <v>261</v>
      </c>
      <c r="C200" s="5">
        <v>24</v>
      </c>
      <c r="D200" s="5" t="s">
        <v>124</v>
      </c>
      <c r="E200" s="5" t="s">
        <v>27</v>
      </c>
      <c r="F200" s="5">
        <v>32</v>
      </c>
      <c r="G200" s="5">
        <v>32</v>
      </c>
      <c r="H200" s="5">
        <v>30.9</v>
      </c>
      <c r="I200" s="5">
        <v>3.4</v>
      </c>
      <c r="J200" s="5">
        <v>8</v>
      </c>
      <c r="K200" s="6">
        <f>IFERROR(database_24_25!$I200/database_24_25!$J200,0)</f>
        <v>0.42499999999999999</v>
      </c>
      <c r="L200" s="5">
        <v>1.4</v>
      </c>
      <c r="M200" s="5">
        <v>4.2</v>
      </c>
      <c r="N200" s="6">
        <f>IFERROR(database_24_25!$L200/database_24_25!$M200,0)</f>
        <v>0.33333333333333331</v>
      </c>
      <c r="O200" s="5">
        <v>2</v>
      </c>
      <c r="P200" s="5">
        <f>database_24_25!$Q200/10</f>
        <v>3.8</v>
      </c>
      <c r="Q200" s="5">
        <v>38</v>
      </c>
      <c r="R200" s="6">
        <f>IFERROR(database_24_25!$O200/database_24_25!$P200,0)</f>
        <v>0.52631578947368418</v>
      </c>
      <c r="S200" s="5">
        <v>0.8</v>
      </c>
      <c r="T200" s="5">
        <v>1.1000000000000001</v>
      </c>
      <c r="U200" s="6">
        <f>IFERROR(database_24_25!$S200/database_24_25!$T200,0)</f>
        <v>0.72727272727272729</v>
      </c>
      <c r="V200" s="5">
        <v>2.2999999999999998</v>
      </c>
      <c r="W200" s="5">
        <v>3.4</v>
      </c>
      <c r="X200" s="5">
        <v>5.7</v>
      </c>
      <c r="Y200" s="5">
        <v>1.9</v>
      </c>
      <c r="Z200" s="5">
        <v>1.3</v>
      </c>
      <c r="AA200" s="5">
        <v>0.5</v>
      </c>
      <c r="AB200" s="5">
        <v>1.4</v>
      </c>
      <c r="AC200" s="5">
        <v>2.9</v>
      </c>
      <c r="AD200" s="5">
        <v>9.1</v>
      </c>
    </row>
    <row r="201" spans="1:30" x14ac:dyDescent="0.25">
      <c r="A201" s="7">
        <v>2020</v>
      </c>
      <c r="B201" s="7" t="s">
        <v>264</v>
      </c>
      <c r="C201" s="7">
        <v>20</v>
      </c>
      <c r="D201" s="7" t="s">
        <v>110</v>
      </c>
      <c r="E201" s="7" t="s">
        <v>65</v>
      </c>
      <c r="F201" s="7">
        <v>16</v>
      </c>
      <c r="G201" s="7">
        <v>0</v>
      </c>
      <c r="H201" s="7">
        <v>14.5</v>
      </c>
      <c r="I201" s="7">
        <v>3.5</v>
      </c>
      <c r="J201" s="7">
        <v>8.1</v>
      </c>
      <c r="K201" s="6">
        <f>IFERROR(database_24_25!$I201/database_24_25!$J201,0)</f>
        <v>0.4320987654320988</v>
      </c>
      <c r="L201" s="7">
        <v>0.9</v>
      </c>
      <c r="M201" s="7">
        <v>3.6</v>
      </c>
      <c r="N201" s="6">
        <f>IFERROR(database_24_25!$L201/database_24_25!$M201,0)</f>
        <v>0.25</v>
      </c>
      <c r="O201" s="7">
        <v>2.6</v>
      </c>
      <c r="P201" s="5">
        <f>database_24_25!$Q201/10</f>
        <v>4.5999999999999996</v>
      </c>
      <c r="Q201" s="7">
        <v>46</v>
      </c>
      <c r="R201" s="6">
        <f>IFERROR(database_24_25!$O201/database_24_25!$P201,0)</f>
        <v>0.56521739130434789</v>
      </c>
      <c r="S201" s="7">
        <v>1.3</v>
      </c>
      <c r="T201" s="7">
        <v>1.7</v>
      </c>
      <c r="U201" s="6">
        <f>IFERROR(database_24_25!$S201/database_24_25!$T201,0)</f>
        <v>0.76470588235294124</v>
      </c>
      <c r="V201" s="7">
        <v>0.7</v>
      </c>
      <c r="W201" s="7">
        <v>2</v>
      </c>
      <c r="X201" s="7">
        <v>2.7</v>
      </c>
      <c r="Y201" s="7">
        <v>0.6</v>
      </c>
      <c r="Z201" s="7">
        <v>0.4</v>
      </c>
      <c r="AA201" s="7">
        <v>0.1</v>
      </c>
      <c r="AB201" s="7">
        <v>0.7</v>
      </c>
      <c r="AC201" s="7">
        <v>0.8</v>
      </c>
      <c r="AD201" s="7">
        <v>9.1</v>
      </c>
    </row>
    <row r="202" spans="1:30" x14ac:dyDescent="0.25">
      <c r="A202" s="5">
        <v>2010</v>
      </c>
      <c r="B202" s="5" t="s">
        <v>263</v>
      </c>
      <c r="C202" s="5">
        <v>22</v>
      </c>
      <c r="D202" s="5" t="s">
        <v>34</v>
      </c>
      <c r="E202" s="5" t="s">
        <v>58</v>
      </c>
      <c r="F202" s="5">
        <v>33</v>
      </c>
      <c r="G202" s="5">
        <v>0</v>
      </c>
      <c r="H202" s="5">
        <v>20.9</v>
      </c>
      <c r="I202" s="5">
        <v>3.2</v>
      </c>
      <c r="J202" s="5">
        <v>7</v>
      </c>
      <c r="K202" s="6">
        <f>IFERROR(database_24_25!$I202/database_24_25!$J202,0)</f>
        <v>0.45714285714285718</v>
      </c>
      <c r="L202" s="5">
        <v>1.3</v>
      </c>
      <c r="M202" s="5">
        <v>3.6</v>
      </c>
      <c r="N202" s="6">
        <f>IFERROR(database_24_25!$L202/database_24_25!$M202,0)</f>
        <v>0.3611111111111111</v>
      </c>
      <c r="O202" s="5">
        <v>1.9</v>
      </c>
      <c r="P202" s="5">
        <f>database_24_25!$Q202/10</f>
        <v>3.4</v>
      </c>
      <c r="Q202" s="5">
        <v>34</v>
      </c>
      <c r="R202" s="6">
        <f>IFERROR(database_24_25!$O202/database_24_25!$P202,0)</f>
        <v>0.55882352941176472</v>
      </c>
      <c r="S202" s="5">
        <v>1.3</v>
      </c>
      <c r="T202" s="5">
        <v>1.5</v>
      </c>
      <c r="U202" s="6">
        <f>IFERROR(database_24_25!$S202/database_24_25!$T202,0)</f>
        <v>0.8666666666666667</v>
      </c>
      <c r="V202" s="5">
        <v>0.3</v>
      </c>
      <c r="W202" s="5">
        <v>1.8</v>
      </c>
      <c r="X202" s="5">
        <v>2.2000000000000002</v>
      </c>
      <c r="Y202" s="5">
        <v>1.3</v>
      </c>
      <c r="Z202" s="5">
        <v>0.7</v>
      </c>
      <c r="AA202" s="5">
        <v>0.4</v>
      </c>
      <c r="AB202" s="5">
        <v>0.8</v>
      </c>
      <c r="AC202" s="5">
        <v>2.4</v>
      </c>
      <c r="AD202" s="5">
        <v>9.1</v>
      </c>
    </row>
    <row r="203" spans="1:30" x14ac:dyDescent="0.25">
      <c r="A203" s="7">
        <v>2000</v>
      </c>
      <c r="B203" s="7" t="s">
        <v>262</v>
      </c>
      <c r="C203" s="7">
        <v>31</v>
      </c>
      <c r="D203" s="7" t="s">
        <v>43</v>
      </c>
      <c r="E203" s="7" t="s">
        <v>32</v>
      </c>
      <c r="F203" s="7">
        <v>33</v>
      </c>
      <c r="G203" s="7">
        <v>6</v>
      </c>
      <c r="H203" s="7">
        <v>22.7</v>
      </c>
      <c r="I203" s="7">
        <v>2.7</v>
      </c>
      <c r="J203" s="7">
        <v>7.1</v>
      </c>
      <c r="K203" s="6">
        <f>IFERROR(database_24_25!$I203/database_24_25!$J203,0)</f>
        <v>0.38028169014084512</v>
      </c>
      <c r="L203" s="7">
        <v>1.3</v>
      </c>
      <c r="M203" s="7">
        <v>3.8</v>
      </c>
      <c r="N203" s="6">
        <f>IFERROR(database_24_25!$L203/database_24_25!$M203,0)</f>
        <v>0.34210526315789475</v>
      </c>
      <c r="O203" s="7">
        <v>1.4</v>
      </c>
      <c r="P203" s="5">
        <f>database_24_25!$Q203/10</f>
        <v>3.3</v>
      </c>
      <c r="Q203" s="7">
        <v>33</v>
      </c>
      <c r="R203" s="6">
        <f>IFERROR(database_24_25!$O203/database_24_25!$P203,0)</f>
        <v>0.42424242424242425</v>
      </c>
      <c r="S203" s="7">
        <v>2.5</v>
      </c>
      <c r="T203" s="7">
        <v>2.8</v>
      </c>
      <c r="U203" s="6">
        <f>IFERROR(database_24_25!$S203/database_24_25!$T203,0)</f>
        <v>0.8928571428571429</v>
      </c>
      <c r="V203" s="7">
        <v>0.2</v>
      </c>
      <c r="W203" s="7">
        <v>1.9</v>
      </c>
      <c r="X203" s="7">
        <v>2.2000000000000002</v>
      </c>
      <c r="Y203" s="7">
        <v>3.4</v>
      </c>
      <c r="Z203" s="7">
        <v>0.8</v>
      </c>
      <c r="AA203" s="7">
        <v>0.2</v>
      </c>
      <c r="AB203" s="7">
        <v>1</v>
      </c>
      <c r="AC203" s="7">
        <v>1.4</v>
      </c>
      <c r="AD203" s="7">
        <v>9.1</v>
      </c>
    </row>
    <row r="204" spans="1:30" x14ac:dyDescent="0.25">
      <c r="A204" s="5">
        <v>2030</v>
      </c>
      <c r="B204" s="5" t="s">
        <v>265</v>
      </c>
      <c r="C204" s="5">
        <v>19</v>
      </c>
      <c r="D204" s="5" t="s">
        <v>94</v>
      </c>
      <c r="E204" s="5" t="s">
        <v>32</v>
      </c>
      <c r="F204" s="5">
        <v>32</v>
      </c>
      <c r="G204" s="5">
        <v>23</v>
      </c>
      <c r="H204" s="5">
        <v>30</v>
      </c>
      <c r="I204" s="5">
        <v>3.4</v>
      </c>
      <c r="J204" s="5">
        <v>8.3000000000000007</v>
      </c>
      <c r="K204" s="6">
        <f>IFERROR(database_24_25!$I204/database_24_25!$J204,0)</f>
        <v>0.4096385542168674</v>
      </c>
      <c r="L204" s="5">
        <v>1.5</v>
      </c>
      <c r="M204" s="5">
        <v>4.3</v>
      </c>
      <c r="N204" s="6">
        <f>IFERROR(database_24_25!$L204/database_24_25!$M204,0)</f>
        <v>0.34883720930232559</v>
      </c>
      <c r="O204" s="5">
        <v>1.9</v>
      </c>
      <c r="P204" s="5">
        <f>database_24_25!$Q204/10</f>
        <v>4</v>
      </c>
      <c r="Q204" s="5">
        <v>40</v>
      </c>
      <c r="R204" s="6">
        <f>IFERROR(database_24_25!$O204/database_24_25!$P204,0)</f>
        <v>0.47499999999999998</v>
      </c>
      <c r="S204" s="5">
        <v>0.7</v>
      </c>
      <c r="T204" s="5">
        <v>0.8</v>
      </c>
      <c r="U204" s="6">
        <f>IFERROR(database_24_25!$S204/database_24_25!$T204,0)</f>
        <v>0.87499999999999989</v>
      </c>
      <c r="V204" s="5">
        <v>0.3</v>
      </c>
      <c r="W204" s="5">
        <v>3.9</v>
      </c>
      <c r="X204" s="5">
        <v>4.3</v>
      </c>
      <c r="Y204" s="5">
        <v>4</v>
      </c>
      <c r="Z204" s="5">
        <v>0.8</v>
      </c>
      <c r="AA204" s="5">
        <v>0.3</v>
      </c>
      <c r="AB204" s="5">
        <v>1.8</v>
      </c>
      <c r="AC204" s="5">
        <v>2.9</v>
      </c>
      <c r="AD204" s="5">
        <v>9</v>
      </c>
    </row>
    <row r="205" spans="1:30" x14ac:dyDescent="0.25">
      <c r="A205" s="5">
        <v>2060</v>
      </c>
      <c r="B205" s="5" t="s">
        <v>268</v>
      </c>
      <c r="C205" s="5">
        <v>26</v>
      </c>
      <c r="D205" s="5" t="s">
        <v>47</v>
      </c>
      <c r="E205" s="5" t="s">
        <v>58</v>
      </c>
      <c r="F205" s="5">
        <v>31</v>
      </c>
      <c r="G205" s="5">
        <v>15</v>
      </c>
      <c r="H205" s="5">
        <v>24.5</v>
      </c>
      <c r="I205" s="5">
        <v>3.4</v>
      </c>
      <c r="J205" s="5">
        <v>8.1999999999999993</v>
      </c>
      <c r="K205" s="6">
        <f>IFERROR(database_24_25!$I205/database_24_25!$J205,0)</f>
        <v>0.41463414634146345</v>
      </c>
      <c r="L205" s="5">
        <v>1.6</v>
      </c>
      <c r="M205" s="5">
        <v>5.4</v>
      </c>
      <c r="N205" s="6">
        <f>IFERROR(database_24_25!$L205/database_24_25!$M205,0)</f>
        <v>0.29629629629629628</v>
      </c>
      <c r="O205" s="5">
        <v>1.8</v>
      </c>
      <c r="P205" s="5">
        <f>database_24_25!$Q205/10</f>
        <v>2.7</v>
      </c>
      <c r="Q205" s="5">
        <v>27</v>
      </c>
      <c r="R205" s="6">
        <f>IFERROR(database_24_25!$O205/database_24_25!$P205,0)</f>
        <v>0.66666666666666663</v>
      </c>
      <c r="S205" s="5">
        <v>0.5</v>
      </c>
      <c r="T205" s="5">
        <v>0.7</v>
      </c>
      <c r="U205" s="6">
        <f>IFERROR(database_24_25!$S205/database_24_25!$T205,0)</f>
        <v>0.7142857142857143</v>
      </c>
      <c r="V205" s="5">
        <v>0.5</v>
      </c>
      <c r="W205" s="5">
        <v>2.9</v>
      </c>
      <c r="X205" s="5">
        <v>3.5</v>
      </c>
      <c r="Y205" s="5">
        <v>2</v>
      </c>
      <c r="Z205" s="5">
        <v>1</v>
      </c>
      <c r="AA205" s="5">
        <v>0.5</v>
      </c>
      <c r="AB205" s="5">
        <v>1</v>
      </c>
      <c r="AC205" s="5">
        <v>2.1</v>
      </c>
      <c r="AD205" s="5">
        <v>9</v>
      </c>
    </row>
    <row r="206" spans="1:30" x14ac:dyDescent="0.25">
      <c r="A206" s="7">
        <v>2080</v>
      </c>
      <c r="B206" s="7" t="s">
        <v>270</v>
      </c>
      <c r="C206" s="7">
        <v>29</v>
      </c>
      <c r="D206" s="7" t="s">
        <v>53</v>
      </c>
      <c r="E206" s="7" t="s">
        <v>65</v>
      </c>
      <c r="F206" s="7">
        <v>27</v>
      </c>
      <c r="G206" s="7">
        <v>20</v>
      </c>
      <c r="H206" s="7">
        <v>30</v>
      </c>
      <c r="I206" s="7">
        <v>3.2</v>
      </c>
      <c r="J206" s="7">
        <v>7.5</v>
      </c>
      <c r="K206" s="6">
        <f>IFERROR(database_24_25!$I206/database_24_25!$J206,0)</f>
        <v>0.42666666666666669</v>
      </c>
      <c r="L206" s="7">
        <v>1.1000000000000001</v>
      </c>
      <c r="M206" s="7">
        <v>2.9</v>
      </c>
      <c r="N206" s="6">
        <f>IFERROR(database_24_25!$L206/database_24_25!$M206,0)</f>
        <v>0.37931034482758624</v>
      </c>
      <c r="O206" s="7">
        <v>2.1</v>
      </c>
      <c r="P206" s="5">
        <f>database_24_25!$Q206/10</f>
        <v>4.5999999999999996</v>
      </c>
      <c r="Q206" s="7">
        <v>46</v>
      </c>
      <c r="R206" s="6">
        <f>IFERROR(database_24_25!$O206/database_24_25!$P206,0)</f>
        <v>0.45652173913043481</v>
      </c>
      <c r="S206" s="7">
        <v>1.6</v>
      </c>
      <c r="T206" s="7">
        <v>2.4</v>
      </c>
      <c r="U206" s="6">
        <f>IFERROR(database_24_25!$S206/database_24_25!$T206,0)</f>
        <v>0.66666666666666674</v>
      </c>
      <c r="V206" s="7">
        <v>1.4</v>
      </c>
      <c r="W206" s="7">
        <v>2.9</v>
      </c>
      <c r="X206" s="7">
        <v>4.3</v>
      </c>
      <c r="Y206" s="7">
        <v>2.1</v>
      </c>
      <c r="Z206" s="7">
        <v>1.1000000000000001</v>
      </c>
      <c r="AA206" s="7">
        <v>0.5</v>
      </c>
      <c r="AB206" s="7">
        <v>1.5</v>
      </c>
      <c r="AC206" s="7">
        <v>1.9</v>
      </c>
      <c r="AD206" s="7">
        <v>9</v>
      </c>
    </row>
    <row r="207" spans="1:30" x14ac:dyDescent="0.25">
      <c r="A207" s="5">
        <v>2040</v>
      </c>
      <c r="B207" s="5" t="s">
        <v>266</v>
      </c>
      <c r="C207" s="5">
        <v>23</v>
      </c>
      <c r="D207" s="5" t="s">
        <v>39</v>
      </c>
      <c r="E207" s="5" t="s">
        <v>65</v>
      </c>
      <c r="F207" s="5">
        <v>32</v>
      </c>
      <c r="G207" s="5">
        <v>25</v>
      </c>
      <c r="H207" s="5">
        <v>25.5</v>
      </c>
      <c r="I207" s="5">
        <v>3.4</v>
      </c>
      <c r="J207" s="5">
        <v>7.8</v>
      </c>
      <c r="K207" s="6">
        <f>IFERROR(database_24_25!$I207/database_24_25!$J207,0)</f>
        <v>0.4358974358974359</v>
      </c>
      <c r="L207" s="5">
        <v>1.4</v>
      </c>
      <c r="M207" s="5">
        <v>3.8</v>
      </c>
      <c r="N207" s="6">
        <f>IFERROR(database_24_25!$L207/database_24_25!$M207,0)</f>
        <v>0.36842105263157893</v>
      </c>
      <c r="O207" s="5">
        <v>2</v>
      </c>
      <c r="P207" s="5">
        <f>database_24_25!$Q207/10</f>
        <v>4</v>
      </c>
      <c r="Q207" s="5">
        <v>40</v>
      </c>
      <c r="R207" s="6">
        <f>IFERROR(database_24_25!$O207/database_24_25!$P207,0)</f>
        <v>0.5</v>
      </c>
      <c r="S207" s="5">
        <v>0.8</v>
      </c>
      <c r="T207" s="5">
        <v>1.1000000000000001</v>
      </c>
      <c r="U207" s="6">
        <f>IFERROR(database_24_25!$S207/database_24_25!$T207,0)</f>
        <v>0.72727272727272729</v>
      </c>
      <c r="V207" s="5">
        <v>1.1000000000000001</v>
      </c>
      <c r="W207" s="5">
        <v>2.6</v>
      </c>
      <c r="X207" s="5">
        <v>3.7</v>
      </c>
      <c r="Y207" s="5">
        <v>1.7</v>
      </c>
      <c r="Z207" s="5">
        <v>0.4</v>
      </c>
      <c r="AA207" s="5">
        <v>0.2</v>
      </c>
      <c r="AB207" s="5">
        <v>1</v>
      </c>
      <c r="AC207" s="5">
        <v>1.6</v>
      </c>
      <c r="AD207" s="5">
        <v>9</v>
      </c>
    </row>
    <row r="208" spans="1:30" x14ac:dyDescent="0.25">
      <c r="A208" s="7">
        <v>2070</v>
      </c>
      <c r="B208" s="7" t="s">
        <v>269</v>
      </c>
      <c r="C208" s="7">
        <v>26</v>
      </c>
      <c r="D208" s="7" t="s">
        <v>88</v>
      </c>
      <c r="E208" s="7" t="s">
        <v>35</v>
      </c>
      <c r="F208" s="7">
        <v>31</v>
      </c>
      <c r="G208" s="7">
        <v>1</v>
      </c>
      <c r="H208" s="7">
        <v>14.9</v>
      </c>
      <c r="I208" s="7">
        <v>3.2</v>
      </c>
      <c r="J208" s="7">
        <v>6.1</v>
      </c>
      <c r="K208" s="6">
        <f>IFERROR(database_24_25!$I208/database_24_25!$J208,0)</f>
        <v>0.52459016393442626</v>
      </c>
      <c r="L208" s="7">
        <v>1.6</v>
      </c>
      <c r="M208" s="7">
        <v>3.9</v>
      </c>
      <c r="N208" s="6">
        <f>IFERROR(database_24_25!$L208/database_24_25!$M208,0)</f>
        <v>0.4102564102564103</v>
      </c>
      <c r="O208" s="7">
        <v>1.5</v>
      </c>
      <c r="P208" s="5">
        <f>database_24_25!$Q208/10</f>
        <v>2.2000000000000002</v>
      </c>
      <c r="Q208" s="7">
        <v>22</v>
      </c>
      <c r="R208" s="6">
        <f>IFERROR(database_24_25!$O208/database_24_25!$P208,0)</f>
        <v>0.68181818181818177</v>
      </c>
      <c r="S208" s="7">
        <v>1.1000000000000001</v>
      </c>
      <c r="T208" s="7">
        <v>1.4</v>
      </c>
      <c r="U208" s="6">
        <f>IFERROR(database_24_25!$S208/database_24_25!$T208,0)</f>
        <v>0.78571428571428581</v>
      </c>
      <c r="V208" s="7">
        <v>0.6</v>
      </c>
      <c r="W208" s="7">
        <v>2</v>
      </c>
      <c r="X208" s="7">
        <v>2.6</v>
      </c>
      <c r="Y208" s="7">
        <v>0.8</v>
      </c>
      <c r="Z208" s="7">
        <v>0.3</v>
      </c>
      <c r="AA208" s="7">
        <v>1.1000000000000001</v>
      </c>
      <c r="AB208" s="7">
        <v>0.6</v>
      </c>
      <c r="AC208" s="7">
        <v>1.7</v>
      </c>
      <c r="AD208" s="7">
        <v>9</v>
      </c>
    </row>
    <row r="209" spans="1:30" x14ac:dyDescent="0.25">
      <c r="A209" s="7">
        <v>2050</v>
      </c>
      <c r="B209" s="7" t="s">
        <v>267</v>
      </c>
      <c r="C209" s="7">
        <v>19</v>
      </c>
      <c r="D209" s="7" t="s">
        <v>75</v>
      </c>
      <c r="E209" s="7" t="s">
        <v>65</v>
      </c>
      <c r="F209" s="7">
        <v>1</v>
      </c>
      <c r="G209" s="7">
        <v>0</v>
      </c>
      <c r="H209" s="7">
        <v>14</v>
      </c>
      <c r="I209" s="7">
        <v>4</v>
      </c>
      <c r="J209" s="7">
        <v>9</v>
      </c>
      <c r="K209" s="6">
        <f>IFERROR(database_24_25!$I209/database_24_25!$J209,0)</f>
        <v>0.44444444444444442</v>
      </c>
      <c r="L209" s="7">
        <v>0</v>
      </c>
      <c r="M209" s="7">
        <v>2</v>
      </c>
      <c r="N209" s="6">
        <f>IFERROR(database_24_25!$L209/database_24_25!$M209,0)</f>
        <v>0</v>
      </c>
      <c r="O209" s="7">
        <v>4</v>
      </c>
      <c r="P209" s="5">
        <f>database_24_25!$Q209/10</f>
        <v>7</v>
      </c>
      <c r="Q209" s="7">
        <v>70</v>
      </c>
      <c r="R209" s="6">
        <f>IFERROR(database_24_25!$O209/database_24_25!$P209,0)</f>
        <v>0.5714285714285714</v>
      </c>
      <c r="S209" s="7">
        <v>1</v>
      </c>
      <c r="T209" s="7">
        <v>1</v>
      </c>
      <c r="U209" s="6">
        <f>IFERROR(database_24_25!$S209/database_24_25!$T209,0)</f>
        <v>1</v>
      </c>
      <c r="V209" s="7">
        <v>1</v>
      </c>
      <c r="W209" s="7">
        <v>3</v>
      </c>
      <c r="X209" s="7">
        <v>4</v>
      </c>
      <c r="Y209" s="7">
        <v>0</v>
      </c>
      <c r="Z209" s="7">
        <v>0</v>
      </c>
      <c r="AA209" s="7">
        <v>0</v>
      </c>
      <c r="AB209" s="7">
        <v>1</v>
      </c>
      <c r="AC209" s="7">
        <v>3</v>
      </c>
      <c r="AD209" s="7">
        <v>9</v>
      </c>
    </row>
    <row r="210" spans="1:30" x14ac:dyDescent="0.25">
      <c r="A210" s="5">
        <v>2100</v>
      </c>
      <c r="B210" s="5" t="s">
        <v>272</v>
      </c>
      <c r="C210" s="5">
        <v>30</v>
      </c>
      <c r="D210" s="5" t="s">
        <v>45</v>
      </c>
      <c r="E210" s="5" t="s">
        <v>35</v>
      </c>
      <c r="F210" s="5">
        <v>23</v>
      </c>
      <c r="G210" s="5">
        <v>23</v>
      </c>
      <c r="H210" s="5">
        <v>24.3</v>
      </c>
      <c r="I210" s="5">
        <v>3</v>
      </c>
      <c r="J210" s="5">
        <v>6.7</v>
      </c>
      <c r="K210" s="6">
        <f>IFERROR(database_24_25!$I210/database_24_25!$J210,0)</f>
        <v>0.44776119402985076</v>
      </c>
      <c r="L210" s="5">
        <v>0.7</v>
      </c>
      <c r="M210" s="5">
        <v>2.4</v>
      </c>
      <c r="N210" s="6">
        <f>IFERROR(database_24_25!$L210/database_24_25!$M210,0)</f>
        <v>0.29166666666666669</v>
      </c>
      <c r="O210" s="5">
        <v>2.2999999999999998</v>
      </c>
      <c r="P210" s="5">
        <f>database_24_25!$Q210/10</f>
        <v>4.3</v>
      </c>
      <c r="Q210" s="5">
        <v>43</v>
      </c>
      <c r="R210" s="6">
        <f>IFERROR(database_24_25!$O210/database_24_25!$P210,0)</f>
        <v>0.53488372093023251</v>
      </c>
      <c r="S210" s="5">
        <v>2</v>
      </c>
      <c r="T210" s="5">
        <v>2.8</v>
      </c>
      <c r="U210" s="6">
        <f>IFERROR(database_24_25!$S210/database_24_25!$T210,0)</f>
        <v>0.7142857142857143</v>
      </c>
      <c r="V210" s="5">
        <v>1.9</v>
      </c>
      <c r="W210" s="5">
        <v>7.6</v>
      </c>
      <c r="X210" s="5">
        <v>9.5</v>
      </c>
      <c r="Y210" s="5">
        <v>1.9</v>
      </c>
      <c r="Z210" s="5">
        <v>1</v>
      </c>
      <c r="AA210" s="5">
        <v>0.7</v>
      </c>
      <c r="AB210" s="5">
        <v>2.2999999999999998</v>
      </c>
      <c r="AC210" s="5">
        <v>3</v>
      </c>
      <c r="AD210" s="5">
        <v>8.8000000000000007</v>
      </c>
    </row>
    <row r="211" spans="1:30" x14ac:dyDescent="0.25">
      <c r="A211" s="7">
        <v>2090</v>
      </c>
      <c r="B211" s="7" t="s">
        <v>271</v>
      </c>
      <c r="C211" s="7">
        <v>38</v>
      </c>
      <c r="D211" s="7" t="s">
        <v>41</v>
      </c>
      <c r="E211" s="7" t="s">
        <v>35</v>
      </c>
      <c r="F211" s="7">
        <v>27</v>
      </c>
      <c r="G211" s="7">
        <v>24</v>
      </c>
      <c r="H211" s="7">
        <v>27.9</v>
      </c>
      <c r="I211" s="7">
        <v>3.2</v>
      </c>
      <c r="J211" s="7">
        <v>7.6</v>
      </c>
      <c r="K211" s="6">
        <f>IFERROR(database_24_25!$I211/database_24_25!$J211,0)</f>
        <v>0.4210526315789474</v>
      </c>
      <c r="L211" s="7">
        <v>2</v>
      </c>
      <c r="M211" s="7">
        <v>5.5</v>
      </c>
      <c r="N211" s="6">
        <f>IFERROR(database_24_25!$L211/database_24_25!$M211,0)</f>
        <v>0.36363636363636365</v>
      </c>
      <c r="O211" s="7">
        <v>1.3</v>
      </c>
      <c r="P211" s="5">
        <f>database_24_25!$Q211/10</f>
        <v>2.1</v>
      </c>
      <c r="Q211" s="7">
        <v>21</v>
      </c>
      <c r="R211" s="6">
        <f>IFERROR(database_24_25!$O211/database_24_25!$P211,0)</f>
        <v>0.61904761904761907</v>
      </c>
      <c r="S211" s="7">
        <v>0.4</v>
      </c>
      <c r="T211" s="7">
        <v>0.4</v>
      </c>
      <c r="U211" s="6">
        <f>IFERROR(database_24_25!$S211/database_24_25!$T211,0)</f>
        <v>1</v>
      </c>
      <c r="V211" s="7">
        <v>0.9</v>
      </c>
      <c r="W211" s="7">
        <v>4.4000000000000004</v>
      </c>
      <c r="X211" s="7">
        <v>5.3</v>
      </c>
      <c r="Y211" s="7">
        <v>2.2999999999999998</v>
      </c>
      <c r="Z211" s="7">
        <v>0.7</v>
      </c>
      <c r="AA211" s="7">
        <v>0.9</v>
      </c>
      <c r="AB211" s="7">
        <v>0.9</v>
      </c>
      <c r="AC211" s="7">
        <v>1.7</v>
      </c>
      <c r="AD211" s="7">
        <v>8.8000000000000007</v>
      </c>
    </row>
    <row r="212" spans="1:30" x14ac:dyDescent="0.25">
      <c r="A212" s="7">
        <v>2120</v>
      </c>
      <c r="B212" s="7" t="s">
        <v>274</v>
      </c>
      <c r="C212" s="7">
        <v>34</v>
      </c>
      <c r="D212" s="7" t="s">
        <v>86</v>
      </c>
      <c r="E212" s="7" t="s">
        <v>27</v>
      </c>
      <c r="F212" s="7">
        <v>29</v>
      </c>
      <c r="G212" s="7">
        <v>27</v>
      </c>
      <c r="H212" s="7">
        <v>28.6</v>
      </c>
      <c r="I212" s="7">
        <v>3</v>
      </c>
      <c r="J212" s="7">
        <v>7.1</v>
      </c>
      <c r="K212" s="6">
        <f>IFERROR(database_24_25!$I212/database_24_25!$J212,0)</f>
        <v>0.42253521126760568</v>
      </c>
      <c r="L212" s="7">
        <v>1.4</v>
      </c>
      <c r="M212" s="7">
        <v>3.8</v>
      </c>
      <c r="N212" s="6">
        <f>IFERROR(database_24_25!$L212/database_24_25!$M212,0)</f>
        <v>0.36842105263157893</v>
      </c>
      <c r="O212" s="7">
        <v>1.6</v>
      </c>
      <c r="P212" s="5">
        <f>database_24_25!$Q212/10</f>
        <v>3.3</v>
      </c>
      <c r="Q212" s="7">
        <v>33</v>
      </c>
      <c r="R212" s="6">
        <f>IFERROR(database_24_25!$O212/database_24_25!$P212,0)</f>
        <v>0.48484848484848492</v>
      </c>
      <c r="S212" s="7">
        <v>1.3</v>
      </c>
      <c r="T212" s="7">
        <v>2.1</v>
      </c>
      <c r="U212" s="6">
        <f>IFERROR(database_24_25!$S212/database_24_25!$T212,0)</f>
        <v>0.61904761904761907</v>
      </c>
      <c r="V212" s="7">
        <v>1</v>
      </c>
      <c r="W212" s="7">
        <v>5.2</v>
      </c>
      <c r="X212" s="7">
        <v>6.3</v>
      </c>
      <c r="Y212" s="7">
        <v>5.7</v>
      </c>
      <c r="Z212" s="7">
        <v>1</v>
      </c>
      <c r="AA212" s="7">
        <v>1.1000000000000001</v>
      </c>
      <c r="AB212" s="7">
        <v>2.5</v>
      </c>
      <c r="AC212" s="7">
        <v>3.2</v>
      </c>
      <c r="AD212" s="7">
        <v>8.6999999999999993</v>
      </c>
    </row>
    <row r="213" spans="1:30" x14ac:dyDescent="0.25">
      <c r="A213" s="7">
        <v>2130</v>
      </c>
      <c r="B213" s="7" t="s">
        <v>275</v>
      </c>
      <c r="C213" s="7">
        <v>22</v>
      </c>
      <c r="D213" s="7" t="s">
        <v>34</v>
      </c>
      <c r="E213" s="7" t="s">
        <v>65</v>
      </c>
      <c r="F213" s="7">
        <v>33</v>
      </c>
      <c r="G213" s="7">
        <v>12</v>
      </c>
      <c r="H213" s="7">
        <v>23.9</v>
      </c>
      <c r="I213" s="7">
        <v>3.2</v>
      </c>
      <c r="J213" s="7">
        <v>6.5</v>
      </c>
      <c r="K213" s="6">
        <f>IFERROR(database_24_25!$I213/database_24_25!$J213,0)</f>
        <v>0.49230769230769234</v>
      </c>
      <c r="L213" s="7">
        <v>0.7</v>
      </c>
      <c r="M213" s="7">
        <v>2.1</v>
      </c>
      <c r="N213" s="6">
        <f>IFERROR(database_24_25!$L213/database_24_25!$M213,0)</f>
        <v>0.33333333333333331</v>
      </c>
      <c r="O213" s="7">
        <v>2.5</v>
      </c>
      <c r="P213" s="5">
        <f>database_24_25!$Q213/10</f>
        <v>4.4000000000000004</v>
      </c>
      <c r="Q213" s="7">
        <v>44</v>
      </c>
      <c r="R213" s="6">
        <f>IFERROR(database_24_25!$O213/database_24_25!$P213,0)</f>
        <v>0.56818181818181812</v>
      </c>
      <c r="S213" s="7">
        <v>1.6</v>
      </c>
      <c r="T213" s="7">
        <v>2</v>
      </c>
      <c r="U213" s="6">
        <f>IFERROR(database_24_25!$S213/database_24_25!$T213,0)</f>
        <v>0.8</v>
      </c>
      <c r="V213" s="7">
        <v>0.9</v>
      </c>
      <c r="W213" s="7">
        <v>2.2000000000000002</v>
      </c>
      <c r="X213" s="7">
        <v>3.2</v>
      </c>
      <c r="Y213" s="7">
        <v>1.4</v>
      </c>
      <c r="Z213" s="7">
        <v>0.8</v>
      </c>
      <c r="AA213" s="7">
        <v>1</v>
      </c>
      <c r="AB213" s="7">
        <v>0.8</v>
      </c>
      <c r="AC213" s="7">
        <v>1.9</v>
      </c>
      <c r="AD213" s="7">
        <v>8.6999999999999993</v>
      </c>
    </row>
    <row r="214" spans="1:30" x14ac:dyDescent="0.25">
      <c r="A214" s="5">
        <v>2110</v>
      </c>
      <c r="B214" s="5" t="s">
        <v>273</v>
      </c>
      <c r="C214" s="5">
        <v>20</v>
      </c>
      <c r="D214" s="5" t="s">
        <v>60</v>
      </c>
      <c r="E214" s="5" t="s">
        <v>27</v>
      </c>
      <c r="F214" s="5">
        <v>24</v>
      </c>
      <c r="G214" s="5">
        <v>6</v>
      </c>
      <c r="H214" s="5">
        <v>20.399999999999999</v>
      </c>
      <c r="I214" s="5">
        <v>2.9</v>
      </c>
      <c r="J214" s="5">
        <v>7</v>
      </c>
      <c r="K214" s="6">
        <f>IFERROR(database_24_25!$I214/database_24_25!$J214,0)</f>
        <v>0.41428571428571426</v>
      </c>
      <c r="L214" s="5">
        <v>1.9</v>
      </c>
      <c r="M214" s="5">
        <v>5</v>
      </c>
      <c r="N214" s="6">
        <f>IFERROR(database_24_25!$L214/database_24_25!$M214,0)</f>
        <v>0.38</v>
      </c>
      <c r="O214" s="5">
        <v>1</v>
      </c>
      <c r="P214" s="5">
        <f>database_24_25!$Q214/10</f>
        <v>2.1</v>
      </c>
      <c r="Q214" s="5">
        <v>21</v>
      </c>
      <c r="R214" s="6">
        <f>IFERROR(database_24_25!$O214/database_24_25!$P214,0)</f>
        <v>0.47619047619047616</v>
      </c>
      <c r="S214" s="5">
        <v>1</v>
      </c>
      <c r="T214" s="5">
        <v>1.2</v>
      </c>
      <c r="U214" s="6">
        <f>IFERROR(database_24_25!$S214/database_24_25!$T214,0)</f>
        <v>0.83333333333333337</v>
      </c>
      <c r="V214" s="5">
        <v>0.9</v>
      </c>
      <c r="W214" s="5">
        <v>2.7</v>
      </c>
      <c r="X214" s="5">
        <v>3.6</v>
      </c>
      <c r="Y214" s="5">
        <v>0.7</v>
      </c>
      <c r="Z214" s="5">
        <v>0.3</v>
      </c>
      <c r="AA214" s="5">
        <v>0.5</v>
      </c>
      <c r="AB214" s="5">
        <v>0.8</v>
      </c>
      <c r="AC214" s="5">
        <v>2.7</v>
      </c>
      <c r="AD214" s="5">
        <v>8.6999999999999993</v>
      </c>
    </row>
    <row r="215" spans="1:30" x14ac:dyDescent="0.25">
      <c r="A215" s="7">
        <v>2140</v>
      </c>
      <c r="B215" s="7" t="s">
        <v>276</v>
      </c>
      <c r="C215" s="7">
        <v>21</v>
      </c>
      <c r="D215" s="7" t="s">
        <v>70</v>
      </c>
      <c r="E215" s="7" t="s">
        <v>27</v>
      </c>
      <c r="F215" s="7">
        <v>23</v>
      </c>
      <c r="G215" s="7">
        <v>9</v>
      </c>
      <c r="H215" s="7">
        <v>20.9</v>
      </c>
      <c r="I215" s="7">
        <v>2.8</v>
      </c>
      <c r="J215" s="7">
        <v>6.2</v>
      </c>
      <c r="K215" s="6">
        <f>IFERROR(database_24_25!$I215/database_24_25!$J215,0)</f>
        <v>0.45161290322580638</v>
      </c>
      <c r="L215" s="7">
        <v>1.2</v>
      </c>
      <c r="M215" s="7">
        <v>3.2</v>
      </c>
      <c r="N215" s="6">
        <f>IFERROR(database_24_25!$L215/database_24_25!$M215,0)</f>
        <v>0.37499999999999994</v>
      </c>
      <c r="O215" s="7">
        <v>1.6</v>
      </c>
      <c r="P215" s="5">
        <f>database_24_25!$Q215/10</f>
        <v>3</v>
      </c>
      <c r="Q215" s="7">
        <v>30</v>
      </c>
      <c r="R215" s="6">
        <f>IFERROR(database_24_25!$O215/database_24_25!$P215,0)</f>
        <v>0.53333333333333333</v>
      </c>
      <c r="S215" s="7">
        <v>1.8</v>
      </c>
      <c r="T215" s="7">
        <v>2.2000000000000002</v>
      </c>
      <c r="U215" s="6">
        <f>IFERROR(database_24_25!$S215/database_24_25!$T215,0)</f>
        <v>0.81818181818181812</v>
      </c>
      <c r="V215" s="7">
        <v>0.5</v>
      </c>
      <c r="W215" s="7">
        <v>3.2</v>
      </c>
      <c r="X215" s="7">
        <v>3.7</v>
      </c>
      <c r="Y215" s="7">
        <v>2</v>
      </c>
      <c r="Z215" s="7">
        <v>0.8</v>
      </c>
      <c r="AA215" s="7">
        <v>0.1</v>
      </c>
      <c r="AB215" s="7">
        <v>0.8</v>
      </c>
      <c r="AC215" s="7">
        <v>1.4</v>
      </c>
      <c r="AD215" s="7">
        <v>8.6</v>
      </c>
    </row>
    <row r="216" spans="1:30" x14ac:dyDescent="0.25">
      <c r="A216" s="5">
        <v>2150</v>
      </c>
      <c r="B216" s="5" t="s">
        <v>277</v>
      </c>
      <c r="C216" s="5">
        <v>20</v>
      </c>
      <c r="D216" s="5" t="s">
        <v>43</v>
      </c>
      <c r="E216" s="5" t="s">
        <v>35</v>
      </c>
      <c r="F216" s="5">
        <v>27</v>
      </c>
      <c r="G216" s="5">
        <v>20</v>
      </c>
      <c r="H216" s="5">
        <v>24.1</v>
      </c>
      <c r="I216" s="5">
        <v>3.6</v>
      </c>
      <c r="J216" s="5">
        <v>5.0999999999999996</v>
      </c>
      <c r="K216" s="6">
        <f>IFERROR(database_24_25!$I216/database_24_25!$J216,0)</f>
        <v>0.70588235294117652</v>
      </c>
      <c r="L216" s="5">
        <v>0</v>
      </c>
      <c r="M216" s="5">
        <v>0</v>
      </c>
      <c r="N216" s="6">
        <f>IFERROR(database_24_25!$L216/database_24_25!$M216,0)</f>
        <v>0</v>
      </c>
      <c r="O216" s="5">
        <v>3.6</v>
      </c>
      <c r="P216" s="5">
        <f>database_24_25!$Q216/10</f>
        <v>5.0999999999999996</v>
      </c>
      <c r="Q216" s="5">
        <v>51</v>
      </c>
      <c r="R216" s="6">
        <f>IFERROR(database_24_25!$O216/database_24_25!$P216,0)</f>
        <v>0.70588235294117652</v>
      </c>
      <c r="S216" s="5">
        <v>1.4</v>
      </c>
      <c r="T216" s="5">
        <v>2.2999999999999998</v>
      </c>
      <c r="U216" s="6">
        <f>IFERROR(database_24_25!$S216/database_24_25!$T216,0)</f>
        <v>0.60869565217391308</v>
      </c>
      <c r="V216" s="5">
        <v>3</v>
      </c>
      <c r="W216" s="5">
        <v>4.8</v>
      </c>
      <c r="X216" s="5">
        <v>7.8</v>
      </c>
      <c r="Y216" s="5">
        <v>2.6</v>
      </c>
      <c r="Z216" s="5">
        <v>0.6</v>
      </c>
      <c r="AA216" s="5">
        <v>1.7</v>
      </c>
      <c r="AB216" s="5">
        <v>1.2</v>
      </c>
      <c r="AC216" s="5">
        <v>2.9</v>
      </c>
      <c r="AD216" s="5">
        <v>8.6</v>
      </c>
    </row>
    <row r="217" spans="1:30" x14ac:dyDescent="0.25">
      <c r="A217" s="5">
        <v>2170</v>
      </c>
      <c r="B217" s="5" t="s">
        <v>279</v>
      </c>
      <c r="C217" s="5">
        <v>31</v>
      </c>
      <c r="D217" s="5" t="s">
        <v>79</v>
      </c>
      <c r="E217" s="5" t="s">
        <v>27</v>
      </c>
      <c r="F217" s="5">
        <v>34</v>
      </c>
      <c r="G217" s="5">
        <v>1</v>
      </c>
      <c r="H217" s="5">
        <v>20.6</v>
      </c>
      <c r="I217" s="5">
        <v>3.3</v>
      </c>
      <c r="J217" s="5">
        <v>6.9</v>
      </c>
      <c r="K217" s="6">
        <f>IFERROR(database_24_25!$I217/database_24_25!$J217,0)</f>
        <v>0.47826086956521735</v>
      </c>
      <c r="L217" s="5">
        <v>1.7</v>
      </c>
      <c r="M217" s="5">
        <v>4.4000000000000004</v>
      </c>
      <c r="N217" s="6">
        <f>IFERROR(database_24_25!$L217/database_24_25!$M217,0)</f>
        <v>0.3863636363636363</v>
      </c>
      <c r="O217" s="5">
        <v>1.6</v>
      </c>
      <c r="P217" s="5">
        <f>database_24_25!$Q217/10</f>
        <v>2.5</v>
      </c>
      <c r="Q217" s="5">
        <v>25</v>
      </c>
      <c r="R217" s="6">
        <f>IFERROR(database_24_25!$O217/database_24_25!$P217,0)</f>
        <v>0.64</v>
      </c>
      <c r="S217" s="5">
        <v>0.4</v>
      </c>
      <c r="T217" s="5">
        <v>0.5</v>
      </c>
      <c r="U217" s="6">
        <f>IFERROR(database_24_25!$S217/database_24_25!$T217,0)</f>
        <v>0.8</v>
      </c>
      <c r="V217" s="5">
        <v>0.7</v>
      </c>
      <c r="W217" s="5">
        <v>3.2</v>
      </c>
      <c r="X217" s="5">
        <v>3.9</v>
      </c>
      <c r="Y217" s="5">
        <v>1.5</v>
      </c>
      <c r="Z217" s="5">
        <v>0.4</v>
      </c>
      <c r="AA217" s="5">
        <v>0.1</v>
      </c>
      <c r="AB217" s="5">
        <v>1</v>
      </c>
      <c r="AC217" s="5">
        <v>2.2999999999999998</v>
      </c>
      <c r="AD217" s="5">
        <v>8.6</v>
      </c>
    </row>
    <row r="218" spans="1:30" x14ac:dyDescent="0.25">
      <c r="A218" s="5">
        <v>2180</v>
      </c>
      <c r="B218" s="5" t="s">
        <v>280</v>
      </c>
      <c r="C218" s="5">
        <v>23</v>
      </c>
      <c r="D218" s="5" t="s">
        <v>60</v>
      </c>
      <c r="E218" s="5" t="s">
        <v>65</v>
      </c>
      <c r="F218" s="5">
        <v>22</v>
      </c>
      <c r="G218" s="5">
        <v>7</v>
      </c>
      <c r="H218" s="5">
        <v>21.7</v>
      </c>
      <c r="I218" s="5">
        <v>3</v>
      </c>
      <c r="J218" s="5">
        <v>7.5</v>
      </c>
      <c r="K218" s="6">
        <f>IFERROR(database_24_25!$I218/database_24_25!$J218,0)</f>
        <v>0.4</v>
      </c>
      <c r="L218" s="5">
        <v>0.9</v>
      </c>
      <c r="M218" s="5">
        <v>3.2</v>
      </c>
      <c r="N218" s="6">
        <f>IFERROR(database_24_25!$L218/database_24_25!$M218,0)</f>
        <v>0.28125</v>
      </c>
      <c r="O218" s="5">
        <v>2.1</v>
      </c>
      <c r="P218" s="5">
        <f>database_24_25!$Q218/10</f>
        <v>4.3</v>
      </c>
      <c r="Q218" s="5">
        <v>43</v>
      </c>
      <c r="R218" s="6">
        <f>IFERROR(database_24_25!$O218/database_24_25!$P218,0)</f>
        <v>0.48837209302325585</v>
      </c>
      <c r="S218" s="5">
        <v>1.7</v>
      </c>
      <c r="T218" s="5">
        <v>2.1</v>
      </c>
      <c r="U218" s="6">
        <f>IFERROR(database_24_25!$S218/database_24_25!$T218,0)</f>
        <v>0.80952380952380942</v>
      </c>
      <c r="V218" s="5">
        <v>1.1000000000000001</v>
      </c>
      <c r="W218" s="5">
        <v>3.4</v>
      </c>
      <c r="X218" s="5">
        <v>4.5</v>
      </c>
      <c r="Y218" s="5">
        <v>1.1000000000000001</v>
      </c>
      <c r="Z218" s="5">
        <v>0.9</v>
      </c>
      <c r="AA218" s="5">
        <v>0.4</v>
      </c>
      <c r="AB218" s="5">
        <v>0.9</v>
      </c>
      <c r="AC218" s="5">
        <v>2.6</v>
      </c>
      <c r="AD218" s="5">
        <v>8.6</v>
      </c>
    </row>
    <row r="219" spans="1:30" x14ac:dyDescent="0.25">
      <c r="A219" s="7">
        <v>2160</v>
      </c>
      <c r="B219" s="7" t="s">
        <v>278</v>
      </c>
      <c r="C219" s="7">
        <v>28</v>
      </c>
      <c r="D219" s="7" t="s">
        <v>84</v>
      </c>
      <c r="E219" s="7" t="s">
        <v>58</v>
      </c>
      <c r="F219" s="7">
        <v>26</v>
      </c>
      <c r="G219" s="7">
        <v>2</v>
      </c>
      <c r="H219" s="7">
        <v>18.8</v>
      </c>
      <c r="I219" s="7">
        <v>2.5</v>
      </c>
      <c r="J219" s="7">
        <v>5.6</v>
      </c>
      <c r="K219" s="6">
        <f>IFERROR(database_24_25!$I219/database_24_25!$J219,0)</f>
        <v>0.44642857142857145</v>
      </c>
      <c r="L219" s="7">
        <v>2.1</v>
      </c>
      <c r="M219" s="7">
        <v>4.7</v>
      </c>
      <c r="N219" s="6">
        <f>IFERROR(database_24_25!$L219/database_24_25!$M219,0)</f>
        <v>0.44680851063829785</v>
      </c>
      <c r="O219" s="7">
        <v>0.4</v>
      </c>
      <c r="P219" s="5">
        <f>database_24_25!$Q219/10</f>
        <v>0.9</v>
      </c>
      <c r="Q219" s="7">
        <v>9</v>
      </c>
      <c r="R219" s="6">
        <f>IFERROR(database_24_25!$O219/database_24_25!$P219,0)</f>
        <v>0.44444444444444448</v>
      </c>
      <c r="S219" s="7">
        <v>1.6</v>
      </c>
      <c r="T219" s="7">
        <v>1.9</v>
      </c>
      <c r="U219" s="6">
        <f>IFERROR(database_24_25!$S219/database_24_25!$T219,0)</f>
        <v>0.8421052631578948</v>
      </c>
      <c r="V219" s="7">
        <v>0.2</v>
      </c>
      <c r="W219" s="7">
        <v>1.2</v>
      </c>
      <c r="X219" s="7">
        <v>1.4</v>
      </c>
      <c r="Y219" s="7">
        <v>1.5</v>
      </c>
      <c r="Z219" s="7">
        <v>0.7</v>
      </c>
      <c r="AA219" s="7">
        <v>0.3</v>
      </c>
      <c r="AB219" s="7">
        <v>0.6</v>
      </c>
      <c r="AC219" s="7">
        <v>1.8</v>
      </c>
      <c r="AD219" s="7">
        <v>8.6</v>
      </c>
    </row>
    <row r="220" spans="1:30" x14ac:dyDescent="0.25">
      <c r="A220" s="7">
        <v>2190</v>
      </c>
      <c r="B220" s="7" t="s">
        <v>281</v>
      </c>
      <c r="C220" s="7">
        <v>21</v>
      </c>
      <c r="D220" s="7" t="s">
        <v>39</v>
      </c>
      <c r="E220" s="7" t="s">
        <v>32</v>
      </c>
      <c r="F220" s="7">
        <v>33</v>
      </c>
      <c r="G220" s="7">
        <v>3</v>
      </c>
      <c r="H220" s="7">
        <v>24</v>
      </c>
      <c r="I220" s="7">
        <v>3</v>
      </c>
      <c r="J220" s="7">
        <v>7.2</v>
      </c>
      <c r="K220" s="6">
        <f>IFERROR(database_24_25!$I220/database_24_25!$J220,0)</f>
        <v>0.41666666666666663</v>
      </c>
      <c r="L220" s="7">
        <v>0.6</v>
      </c>
      <c r="M220" s="7">
        <v>2.4</v>
      </c>
      <c r="N220" s="6">
        <f>IFERROR(database_24_25!$L220/database_24_25!$M220,0)</f>
        <v>0.25</v>
      </c>
      <c r="O220" s="7">
        <v>2.2999999999999998</v>
      </c>
      <c r="P220" s="5">
        <f>database_24_25!$Q220/10</f>
        <v>4.8</v>
      </c>
      <c r="Q220" s="7">
        <v>48</v>
      </c>
      <c r="R220" s="6">
        <f>IFERROR(database_24_25!$O220/database_24_25!$P220,0)</f>
        <v>0.47916666666666663</v>
      </c>
      <c r="S220" s="7">
        <v>1.9</v>
      </c>
      <c r="T220" s="7">
        <v>2.6</v>
      </c>
      <c r="U220" s="6">
        <f>IFERROR(database_24_25!$S220/database_24_25!$T220,0)</f>
        <v>0.73076923076923073</v>
      </c>
      <c r="V220" s="7">
        <v>0.6</v>
      </c>
      <c r="W220" s="7">
        <v>2.1</v>
      </c>
      <c r="X220" s="7">
        <v>2.7</v>
      </c>
      <c r="Y220" s="7">
        <v>3.5</v>
      </c>
      <c r="Z220" s="7">
        <v>0.9</v>
      </c>
      <c r="AA220" s="7">
        <v>0.7</v>
      </c>
      <c r="AB220" s="7">
        <v>2.2000000000000002</v>
      </c>
      <c r="AC220" s="7">
        <v>2.2999999999999998</v>
      </c>
      <c r="AD220" s="7">
        <v>8.5</v>
      </c>
    </row>
    <row r="221" spans="1:30" x14ac:dyDescent="0.25">
      <c r="A221" s="5">
        <v>2200</v>
      </c>
      <c r="B221" s="5" t="s">
        <v>282</v>
      </c>
      <c r="C221" s="5">
        <v>24</v>
      </c>
      <c r="D221" s="5" t="s">
        <v>86</v>
      </c>
      <c r="E221" s="5" t="s">
        <v>35</v>
      </c>
      <c r="F221" s="5">
        <v>32</v>
      </c>
      <c r="G221" s="5">
        <v>25</v>
      </c>
      <c r="H221" s="5">
        <v>18.8</v>
      </c>
      <c r="I221" s="5">
        <v>3.7</v>
      </c>
      <c r="J221" s="5">
        <v>6.2</v>
      </c>
      <c r="K221" s="6">
        <f>IFERROR(database_24_25!$I221/database_24_25!$J221,0)</f>
        <v>0.59677419354838712</v>
      </c>
      <c r="L221" s="5">
        <v>0</v>
      </c>
      <c r="M221" s="5">
        <v>0</v>
      </c>
      <c r="N221" s="6">
        <f>IFERROR(database_24_25!$L221/database_24_25!$M221,0)</f>
        <v>0</v>
      </c>
      <c r="O221" s="5">
        <v>3.7</v>
      </c>
      <c r="P221" s="5">
        <f>database_24_25!$Q221/10</f>
        <v>6.2</v>
      </c>
      <c r="Q221" s="5">
        <v>62</v>
      </c>
      <c r="R221" s="6">
        <f>IFERROR(database_24_25!$O221/database_24_25!$P221,0)</f>
        <v>0.59677419354838712</v>
      </c>
      <c r="S221" s="5">
        <v>1.1000000000000001</v>
      </c>
      <c r="T221" s="5">
        <v>1.8</v>
      </c>
      <c r="U221" s="6">
        <f>IFERROR(database_24_25!$S221/database_24_25!$T221,0)</f>
        <v>0.61111111111111116</v>
      </c>
      <c r="V221" s="5">
        <v>2.1</v>
      </c>
      <c r="W221" s="5">
        <v>3.8</v>
      </c>
      <c r="X221" s="5">
        <v>5.8</v>
      </c>
      <c r="Y221" s="5">
        <v>2.1</v>
      </c>
      <c r="Z221" s="5">
        <v>0.3</v>
      </c>
      <c r="AA221" s="5">
        <v>0.9</v>
      </c>
      <c r="AB221" s="5">
        <v>0.8</v>
      </c>
      <c r="AC221" s="5">
        <v>1.3</v>
      </c>
      <c r="AD221" s="5">
        <v>8.5</v>
      </c>
    </row>
    <row r="222" spans="1:30" x14ac:dyDescent="0.25">
      <c r="A222" s="5">
        <v>2230</v>
      </c>
      <c r="B222" s="5" t="s">
        <v>285</v>
      </c>
      <c r="C222" s="5">
        <v>25</v>
      </c>
      <c r="D222" s="5" t="s">
        <v>81</v>
      </c>
      <c r="E222" s="5" t="s">
        <v>58</v>
      </c>
      <c r="F222" s="5">
        <v>8</v>
      </c>
      <c r="G222" s="5">
        <v>0</v>
      </c>
      <c r="H222" s="5">
        <v>21</v>
      </c>
      <c r="I222" s="5">
        <v>3.3</v>
      </c>
      <c r="J222" s="5">
        <v>9.1</v>
      </c>
      <c r="K222" s="6">
        <f>IFERROR(database_24_25!$I222/database_24_25!$J222,0)</f>
        <v>0.36263736263736263</v>
      </c>
      <c r="L222" s="5">
        <v>1</v>
      </c>
      <c r="M222" s="5">
        <v>3.4</v>
      </c>
      <c r="N222" s="6">
        <f>IFERROR(database_24_25!$L222/database_24_25!$M222,0)</f>
        <v>0.29411764705882354</v>
      </c>
      <c r="O222" s="5">
        <v>2.2999999999999998</v>
      </c>
      <c r="P222" s="5">
        <f>database_24_25!$Q222/10</f>
        <v>5.8</v>
      </c>
      <c r="Q222" s="5">
        <v>58</v>
      </c>
      <c r="R222" s="6">
        <f>IFERROR(database_24_25!$O222/database_24_25!$P222,0)</f>
        <v>0.39655172413793099</v>
      </c>
      <c r="S222" s="5">
        <v>0.9</v>
      </c>
      <c r="T222" s="5">
        <v>1.4</v>
      </c>
      <c r="U222" s="6">
        <f>IFERROR(database_24_25!$S222/database_24_25!$T222,0)</f>
        <v>0.6428571428571429</v>
      </c>
      <c r="V222" s="5">
        <v>0.8</v>
      </c>
      <c r="W222" s="5">
        <v>1.8</v>
      </c>
      <c r="X222" s="5">
        <v>2.5</v>
      </c>
      <c r="Y222" s="5">
        <v>2.2999999999999998</v>
      </c>
      <c r="Z222" s="5">
        <v>0.1</v>
      </c>
      <c r="AA222" s="5">
        <v>0.5</v>
      </c>
      <c r="AB222" s="5">
        <v>1</v>
      </c>
      <c r="AC222" s="5">
        <v>1.1000000000000001</v>
      </c>
      <c r="AD222" s="5">
        <v>8.4</v>
      </c>
    </row>
    <row r="223" spans="1:30" x14ac:dyDescent="0.25">
      <c r="A223" s="7">
        <v>2210</v>
      </c>
      <c r="B223" s="7" t="s">
        <v>283</v>
      </c>
      <c r="C223" s="7">
        <v>23</v>
      </c>
      <c r="D223" s="7" t="s">
        <v>70</v>
      </c>
      <c r="E223" s="7" t="s">
        <v>65</v>
      </c>
      <c r="F223" s="7">
        <v>28</v>
      </c>
      <c r="G223" s="7">
        <v>4</v>
      </c>
      <c r="H223" s="7">
        <v>21.4</v>
      </c>
      <c r="I223" s="7">
        <v>3.1</v>
      </c>
      <c r="J223" s="7">
        <v>7.5</v>
      </c>
      <c r="K223" s="6">
        <f>IFERROR(database_24_25!$I223/database_24_25!$J223,0)</f>
        <v>0.41333333333333333</v>
      </c>
      <c r="L223" s="7">
        <v>0.5</v>
      </c>
      <c r="M223" s="7">
        <v>2</v>
      </c>
      <c r="N223" s="6">
        <f>IFERROR(database_24_25!$L223/database_24_25!$M223,0)</f>
        <v>0.25</v>
      </c>
      <c r="O223" s="7">
        <v>2.6</v>
      </c>
      <c r="P223" s="5">
        <f>database_24_25!$Q223/10</f>
        <v>5.5</v>
      </c>
      <c r="Q223" s="7">
        <v>55</v>
      </c>
      <c r="R223" s="6">
        <f>IFERROR(database_24_25!$O223/database_24_25!$P223,0)</f>
        <v>0.47272727272727272</v>
      </c>
      <c r="S223" s="7">
        <v>1.7</v>
      </c>
      <c r="T223" s="7">
        <v>2.2999999999999998</v>
      </c>
      <c r="U223" s="6">
        <f>IFERROR(database_24_25!$S223/database_24_25!$T223,0)</f>
        <v>0.73913043478260876</v>
      </c>
      <c r="V223" s="7">
        <v>1.3</v>
      </c>
      <c r="W223" s="7">
        <v>3.3</v>
      </c>
      <c r="X223" s="7">
        <v>4.5999999999999996</v>
      </c>
      <c r="Y223" s="7">
        <v>2.2999999999999998</v>
      </c>
      <c r="Z223" s="7">
        <v>1.1000000000000001</v>
      </c>
      <c r="AA223" s="7">
        <v>0.1</v>
      </c>
      <c r="AB223" s="7">
        <v>1.4</v>
      </c>
      <c r="AC223" s="7">
        <v>1.6</v>
      </c>
      <c r="AD223" s="7">
        <v>8.4</v>
      </c>
    </row>
    <row r="224" spans="1:30" x14ac:dyDescent="0.25">
      <c r="A224" s="7">
        <v>2220</v>
      </c>
      <c r="B224" s="7" t="s">
        <v>284</v>
      </c>
      <c r="C224" s="7">
        <v>28</v>
      </c>
      <c r="D224" s="7" t="s">
        <v>88</v>
      </c>
      <c r="E224" s="7" t="s">
        <v>58</v>
      </c>
      <c r="F224" s="7">
        <v>23</v>
      </c>
      <c r="G224" s="7">
        <v>0</v>
      </c>
      <c r="H224" s="7">
        <v>21</v>
      </c>
      <c r="I224" s="7">
        <v>2.7</v>
      </c>
      <c r="J224" s="7">
        <v>6.1</v>
      </c>
      <c r="K224" s="6">
        <f>IFERROR(database_24_25!$I224/database_24_25!$J224,0)</f>
        <v>0.44262295081967218</v>
      </c>
      <c r="L224" s="7">
        <v>2</v>
      </c>
      <c r="M224" s="7">
        <v>4.4000000000000004</v>
      </c>
      <c r="N224" s="6">
        <f>IFERROR(database_24_25!$L224/database_24_25!$M224,0)</f>
        <v>0.45454545454545453</v>
      </c>
      <c r="O224" s="7">
        <v>0.7</v>
      </c>
      <c r="P224" s="5">
        <f>database_24_25!$Q224/10</f>
        <v>1.7</v>
      </c>
      <c r="Q224" s="7">
        <v>17</v>
      </c>
      <c r="R224" s="6">
        <f>IFERROR(database_24_25!$O224/database_24_25!$P224,0)</f>
        <v>0.41176470588235292</v>
      </c>
      <c r="S224" s="7">
        <v>1.1000000000000001</v>
      </c>
      <c r="T224" s="7">
        <v>1.3</v>
      </c>
      <c r="U224" s="6">
        <f>IFERROR(database_24_25!$S224/database_24_25!$T224,0)</f>
        <v>0.84615384615384615</v>
      </c>
      <c r="V224" s="7">
        <v>0.6</v>
      </c>
      <c r="W224" s="7">
        <v>2.2999999999999998</v>
      </c>
      <c r="X224" s="7">
        <v>2.9</v>
      </c>
      <c r="Y224" s="7">
        <v>3.2</v>
      </c>
      <c r="Z224" s="7">
        <v>0.7</v>
      </c>
      <c r="AA224" s="7">
        <v>0.1</v>
      </c>
      <c r="AB224" s="7">
        <v>0.9</v>
      </c>
      <c r="AC224" s="7">
        <v>0.8</v>
      </c>
      <c r="AD224" s="7">
        <v>8.4</v>
      </c>
    </row>
    <row r="225" spans="1:30" x14ac:dyDescent="0.25">
      <c r="A225" s="7">
        <v>2250</v>
      </c>
      <c r="B225" s="7" t="s">
        <v>287</v>
      </c>
      <c r="C225" s="7">
        <v>20</v>
      </c>
      <c r="D225" s="7" t="s">
        <v>77</v>
      </c>
      <c r="E225" s="7" t="s">
        <v>58</v>
      </c>
      <c r="F225" s="7">
        <v>20</v>
      </c>
      <c r="G225" s="7">
        <v>7</v>
      </c>
      <c r="H225" s="7">
        <v>20.100000000000001</v>
      </c>
      <c r="I225" s="7">
        <v>3.1</v>
      </c>
      <c r="J225" s="7">
        <v>7.7</v>
      </c>
      <c r="K225" s="6">
        <f>IFERROR(database_24_25!$I225/database_24_25!$J225,0)</f>
        <v>0.40259740259740262</v>
      </c>
      <c r="L225" s="7">
        <v>1.1000000000000001</v>
      </c>
      <c r="M225" s="7">
        <v>3.7</v>
      </c>
      <c r="N225" s="6">
        <f>IFERROR(database_24_25!$L225/database_24_25!$M225,0)</f>
        <v>0.29729729729729731</v>
      </c>
      <c r="O225" s="7">
        <v>2</v>
      </c>
      <c r="P225" s="5">
        <f>database_24_25!$Q225/10</f>
        <v>4</v>
      </c>
      <c r="Q225" s="7">
        <v>40</v>
      </c>
      <c r="R225" s="6">
        <f>IFERROR(database_24_25!$O225/database_24_25!$P225,0)</f>
        <v>0.5</v>
      </c>
      <c r="S225" s="7">
        <v>1.2</v>
      </c>
      <c r="T225" s="7">
        <v>1.7</v>
      </c>
      <c r="U225" s="6">
        <f>IFERROR(database_24_25!$S225/database_24_25!$T225,0)</f>
        <v>0.70588235294117652</v>
      </c>
      <c r="V225" s="7">
        <v>0.9</v>
      </c>
      <c r="W225" s="7">
        <v>1.9</v>
      </c>
      <c r="X225" s="7">
        <v>2.8</v>
      </c>
      <c r="Y225" s="7">
        <v>1.6</v>
      </c>
      <c r="Z225" s="7">
        <v>0.5</v>
      </c>
      <c r="AA225" s="7">
        <v>0.3</v>
      </c>
      <c r="AB225" s="7">
        <v>0.9</v>
      </c>
      <c r="AC225" s="7">
        <v>2.1</v>
      </c>
      <c r="AD225" s="7">
        <v>8.3000000000000007</v>
      </c>
    </row>
    <row r="226" spans="1:30" x14ac:dyDescent="0.25">
      <c r="A226" s="5">
        <v>2240</v>
      </c>
      <c r="B226" s="5" t="s">
        <v>286</v>
      </c>
      <c r="C226" s="5">
        <v>29</v>
      </c>
      <c r="D226" s="5" t="s">
        <v>37</v>
      </c>
      <c r="E226" s="5" t="s">
        <v>65</v>
      </c>
      <c r="F226" s="5">
        <v>31</v>
      </c>
      <c r="G226" s="5">
        <v>7</v>
      </c>
      <c r="H226" s="5">
        <v>25.8</v>
      </c>
      <c r="I226" s="5">
        <v>3.2</v>
      </c>
      <c r="J226" s="5">
        <v>7.3</v>
      </c>
      <c r="K226" s="6">
        <f>IFERROR(database_24_25!$I226/database_24_25!$J226,0)</f>
        <v>0.43835616438356168</v>
      </c>
      <c r="L226" s="5">
        <v>1.1000000000000001</v>
      </c>
      <c r="M226" s="5">
        <v>3.5</v>
      </c>
      <c r="N226" s="6">
        <f>IFERROR(database_24_25!$L226/database_24_25!$M226,0)</f>
        <v>0.31428571428571433</v>
      </c>
      <c r="O226" s="5">
        <v>2.1</v>
      </c>
      <c r="P226" s="5">
        <f>database_24_25!$Q226/10</f>
        <v>3.8</v>
      </c>
      <c r="Q226" s="5">
        <v>38</v>
      </c>
      <c r="R226" s="6">
        <f>IFERROR(database_24_25!$O226/database_24_25!$P226,0)</f>
        <v>0.55263157894736847</v>
      </c>
      <c r="S226" s="5">
        <v>0.8</v>
      </c>
      <c r="T226" s="5">
        <v>1.3</v>
      </c>
      <c r="U226" s="6">
        <f>IFERROR(database_24_25!$S226/database_24_25!$T226,0)</f>
        <v>0.61538461538461542</v>
      </c>
      <c r="V226" s="5">
        <v>1.1000000000000001</v>
      </c>
      <c r="W226" s="5">
        <v>3.7</v>
      </c>
      <c r="X226" s="5">
        <v>4.7</v>
      </c>
      <c r="Y226" s="5">
        <v>2.2999999999999998</v>
      </c>
      <c r="Z226" s="5">
        <v>1.1000000000000001</v>
      </c>
      <c r="AA226" s="5">
        <v>0.7</v>
      </c>
      <c r="AB226" s="5">
        <v>1.1000000000000001</v>
      </c>
      <c r="AC226" s="5">
        <v>2</v>
      </c>
      <c r="AD226" s="5">
        <v>8.3000000000000007</v>
      </c>
    </row>
    <row r="227" spans="1:30" x14ac:dyDescent="0.25">
      <c r="A227" s="5">
        <v>2260</v>
      </c>
      <c r="B227" s="5" t="s">
        <v>288</v>
      </c>
      <c r="C227" s="5">
        <v>24</v>
      </c>
      <c r="D227" s="5" t="s">
        <v>60</v>
      </c>
      <c r="E227" s="5" t="s">
        <v>27</v>
      </c>
      <c r="F227" s="5">
        <v>13</v>
      </c>
      <c r="G227" s="5">
        <v>0</v>
      </c>
      <c r="H227" s="5">
        <v>16.100000000000001</v>
      </c>
      <c r="I227" s="5">
        <v>2.7</v>
      </c>
      <c r="J227" s="5">
        <v>6.1</v>
      </c>
      <c r="K227" s="6">
        <f>IFERROR(database_24_25!$I227/database_24_25!$J227,0)</f>
        <v>0.44262295081967218</v>
      </c>
      <c r="L227" s="5">
        <v>0.6</v>
      </c>
      <c r="M227" s="5">
        <v>2</v>
      </c>
      <c r="N227" s="6">
        <f>IFERROR(database_24_25!$L227/database_24_25!$M227,0)</f>
        <v>0.3</v>
      </c>
      <c r="O227" s="5">
        <v>2.1</v>
      </c>
      <c r="P227" s="5">
        <f>database_24_25!$Q227/10</f>
        <v>4.0999999999999996</v>
      </c>
      <c r="Q227" s="5">
        <v>41</v>
      </c>
      <c r="R227" s="6">
        <f>IFERROR(database_24_25!$O227/database_24_25!$P227,0)</f>
        <v>0.51219512195121952</v>
      </c>
      <c r="S227" s="5">
        <v>2.2999999999999998</v>
      </c>
      <c r="T227" s="5">
        <v>2.7</v>
      </c>
      <c r="U227" s="6">
        <f>IFERROR(database_24_25!$S227/database_24_25!$T227,0)</f>
        <v>0.85185185185185175</v>
      </c>
      <c r="V227" s="5">
        <v>0.3</v>
      </c>
      <c r="W227" s="5">
        <v>2.5</v>
      </c>
      <c r="X227" s="5">
        <v>2.8</v>
      </c>
      <c r="Y227" s="5">
        <v>1.2</v>
      </c>
      <c r="Z227" s="5">
        <v>0.4</v>
      </c>
      <c r="AA227" s="5">
        <v>0.3</v>
      </c>
      <c r="AB227" s="5">
        <v>1.2</v>
      </c>
      <c r="AC227" s="5">
        <v>2.2999999999999998</v>
      </c>
      <c r="AD227" s="5">
        <v>8.3000000000000007</v>
      </c>
    </row>
    <row r="228" spans="1:30" x14ac:dyDescent="0.25">
      <c r="A228" s="7">
        <v>2280</v>
      </c>
      <c r="B228" s="7" t="s">
        <v>290</v>
      </c>
      <c r="C228" s="7">
        <v>25</v>
      </c>
      <c r="D228" s="7" t="s">
        <v>31</v>
      </c>
      <c r="E228" s="7" t="s">
        <v>58</v>
      </c>
      <c r="F228" s="7">
        <v>32</v>
      </c>
      <c r="G228" s="7">
        <v>10</v>
      </c>
      <c r="H228" s="7">
        <v>20.100000000000001</v>
      </c>
      <c r="I228" s="7">
        <v>2.9</v>
      </c>
      <c r="J228" s="7">
        <v>7.4</v>
      </c>
      <c r="K228" s="6">
        <f>IFERROR(database_24_25!$I228/database_24_25!$J228,0)</f>
        <v>0.39189189189189189</v>
      </c>
      <c r="L228" s="7">
        <v>2</v>
      </c>
      <c r="M228" s="7">
        <v>5.8</v>
      </c>
      <c r="N228" s="6">
        <f>IFERROR(database_24_25!$L228/database_24_25!$M228,0)</f>
        <v>0.34482758620689657</v>
      </c>
      <c r="O228" s="7">
        <v>0.9</v>
      </c>
      <c r="P228" s="5">
        <f>database_24_25!$Q228/10</f>
        <v>1.6</v>
      </c>
      <c r="Q228" s="7">
        <v>16</v>
      </c>
      <c r="R228" s="6">
        <f>IFERROR(database_24_25!$O228/database_24_25!$P228,0)</f>
        <v>0.5625</v>
      </c>
      <c r="S228" s="7">
        <v>0.4</v>
      </c>
      <c r="T228" s="7">
        <v>0.5</v>
      </c>
      <c r="U228" s="6">
        <f>IFERROR(database_24_25!$S228/database_24_25!$T228,0)</f>
        <v>0.8</v>
      </c>
      <c r="V228" s="7">
        <v>0.5</v>
      </c>
      <c r="W228" s="7">
        <v>2.1</v>
      </c>
      <c r="X228" s="7">
        <v>2.6</v>
      </c>
      <c r="Y228" s="7">
        <v>1.3</v>
      </c>
      <c r="Z228" s="7">
        <v>0.8</v>
      </c>
      <c r="AA228" s="7">
        <v>0.2</v>
      </c>
      <c r="AB228" s="7">
        <v>0.4</v>
      </c>
      <c r="AC228" s="7">
        <v>1.5</v>
      </c>
      <c r="AD228" s="7">
        <v>8.1999999999999993</v>
      </c>
    </row>
    <row r="229" spans="1:30" x14ac:dyDescent="0.25">
      <c r="A229" s="5">
        <v>2270</v>
      </c>
      <c r="B229" s="5" t="s">
        <v>289</v>
      </c>
      <c r="C229" s="5">
        <v>37</v>
      </c>
      <c r="D229" s="5" t="s">
        <v>63</v>
      </c>
      <c r="E229" s="5" t="s">
        <v>32</v>
      </c>
      <c r="F229" s="5">
        <v>29</v>
      </c>
      <c r="G229" s="5">
        <v>29</v>
      </c>
      <c r="H229" s="5">
        <v>25</v>
      </c>
      <c r="I229" s="5">
        <v>2.6</v>
      </c>
      <c r="J229" s="5">
        <v>7.3</v>
      </c>
      <c r="K229" s="6">
        <f>IFERROR(database_24_25!$I229/database_24_25!$J229,0)</f>
        <v>0.35616438356164387</v>
      </c>
      <c r="L229" s="5">
        <v>1.9</v>
      </c>
      <c r="M229" s="5">
        <v>5.0999999999999996</v>
      </c>
      <c r="N229" s="6">
        <f>IFERROR(database_24_25!$L229/database_24_25!$M229,0)</f>
        <v>0.37254901960784315</v>
      </c>
      <c r="O229" s="5">
        <v>0.7</v>
      </c>
      <c r="P229" s="5">
        <f>database_24_25!$Q229/10</f>
        <v>2.2000000000000002</v>
      </c>
      <c r="Q229" s="5">
        <v>22</v>
      </c>
      <c r="R229" s="6">
        <f>IFERROR(database_24_25!$O229/database_24_25!$P229,0)</f>
        <v>0.31818181818181812</v>
      </c>
      <c r="S229" s="5">
        <v>1.2</v>
      </c>
      <c r="T229" s="5">
        <v>1.3</v>
      </c>
      <c r="U229" s="6">
        <f>IFERROR(database_24_25!$S229/database_24_25!$T229,0)</f>
        <v>0.92307692307692302</v>
      </c>
      <c r="V229" s="5">
        <v>0.5</v>
      </c>
      <c r="W229" s="5">
        <v>2.2000000000000002</v>
      </c>
      <c r="X229" s="5">
        <v>2.7</v>
      </c>
      <c r="Y229" s="5">
        <v>4.4000000000000004</v>
      </c>
      <c r="Z229" s="5">
        <v>1.4</v>
      </c>
      <c r="AA229" s="5">
        <v>0.2</v>
      </c>
      <c r="AB229" s="5">
        <v>1.2</v>
      </c>
      <c r="AC229" s="5">
        <v>1.6</v>
      </c>
      <c r="AD229" s="5">
        <v>8.1999999999999993</v>
      </c>
    </row>
    <row r="230" spans="1:30" x14ac:dyDescent="0.25">
      <c r="A230" s="7">
        <v>2290</v>
      </c>
      <c r="B230" s="7" t="s">
        <v>291</v>
      </c>
      <c r="C230" s="7">
        <v>23</v>
      </c>
      <c r="D230" s="7" t="s">
        <v>88</v>
      </c>
      <c r="E230" s="7" t="s">
        <v>27</v>
      </c>
      <c r="F230" s="7">
        <v>34</v>
      </c>
      <c r="G230" s="7">
        <v>0</v>
      </c>
      <c r="H230" s="7">
        <v>21.9</v>
      </c>
      <c r="I230" s="7">
        <v>2.9</v>
      </c>
      <c r="J230" s="7">
        <v>5.8</v>
      </c>
      <c r="K230" s="6">
        <f>IFERROR(database_24_25!$I230/database_24_25!$J230,0)</f>
        <v>0.5</v>
      </c>
      <c r="L230" s="7">
        <v>1</v>
      </c>
      <c r="M230" s="7">
        <v>2.1</v>
      </c>
      <c r="N230" s="6">
        <f>IFERROR(database_24_25!$L230/database_24_25!$M230,0)</f>
        <v>0.47619047619047616</v>
      </c>
      <c r="O230" s="7">
        <v>1.9</v>
      </c>
      <c r="P230" s="5">
        <f>database_24_25!$Q230/10</f>
        <v>3.6</v>
      </c>
      <c r="Q230" s="7">
        <v>36</v>
      </c>
      <c r="R230" s="6">
        <f>IFERROR(database_24_25!$O230/database_24_25!$P230,0)</f>
        <v>0.52777777777777779</v>
      </c>
      <c r="S230" s="7">
        <v>1.4</v>
      </c>
      <c r="T230" s="7">
        <v>2.1</v>
      </c>
      <c r="U230" s="6">
        <f>IFERROR(database_24_25!$S230/database_24_25!$T230,0)</f>
        <v>0.66666666666666663</v>
      </c>
      <c r="V230" s="7">
        <v>1.5</v>
      </c>
      <c r="W230" s="7">
        <v>3</v>
      </c>
      <c r="X230" s="7">
        <v>4.5</v>
      </c>
      <c r="Y230" s="7">
        <v>3.2</v>
      </c>
      <c r="Z230" s="7">
        <v>0.9</v>
      </c>
      <c r="AA230" s="7">
        <v>0.5</v>
      </c>
      <c r="AB230" s="7">
        <v>1.6</v>
      </c>
      <c r="AC230" s="7">
        <v>2.1</v>
      </c>
      <c r="AD230" s="7">
        <v>8.1</v>
      </c>
    </row>
    <row r="231" spans="1:30" x14ac:dyDescent="0.25">
      <c r="A231" s="7">
        <v>2300</v>
      </c>
      <c r="B231" s="7" t="s">
        <v>292</v>
      </c>
      <c r="C231" s="7">
        <v>22</v>
      </c>
      <c r="D231" s="7" t="s">
        <v>86</v>
      </c>
      <c r="E231" s="7" t="s">
        <v>58</v>
      </c>
      <c r="F231" s="7">
        <v>27</v>
      </c>
      <c r="G231" s="7">
        <v>4</v>
      </c>
      <c r="H231" s="7">
        <v>15.9</v>
      </c>
      <c r="I231" s="7">
        <v>2.7</v>
      </c>
      <c r="J231" s="7">
        <v>6.1</v>
      </c>
      <c r="K231" s="6">
        <f>IFERROR(database_24_25!$I231/database_24_25!$J231,0)</f>
        <v>0.44262295081967218</v>
      </c>
      <c r="L231" s="7">
        <v>1.4</v>
      </c>
      <c r="M231" s="7">
        <v>3.7</v>
      </c>
      <c r="N231" s="6">
        <f>IFERROR(database_24_25!$L231/database_24_25!$M231,0)</f>
        <v>0.37837837837837834</v>
      </c>
      <c r="O231" s="7">
        <v>1.3</v>
      </c>
      <c r="P231" s="5">
        <f>database_24_25!$Q231/10</f>
        <v>2.4</v>
      </c>
      <c r="Q231" s="7">
        <v>24</v>
      </c>
      <c r="R231" s="6">
        <f>IFERROR(database_24_25!$O231/database_24_25!$P231,0)</f>
        <v>0.54166666666666674</v>
      </c>
      <c r="S231" s="7">
        <v>1.1000000000000001</v>
      </c>
      <c r="T231" s="7">
        <v>1.4</v>
      </c>
      <c r="U231" s="6">
        <f>IFERROR(database_24_25!$S231/database_24_25!$T231,0)</f>
        <v>0.78571428571428581</v>
      </c>
      <c r="V231" s="7">
        <v>0.4</v>
      </c>
      <c r="W231" s="7">
        <v>1.4</v>
      </c>
      <c r="X231" s="7">
        <v>1.8</v>
      </c>
      <c r="Y231" s="7">
        <v>0.8</v>
      </c>
      <c r="Z231" s="7">
        <v>0.4</v>
      </c>
      <c r="AA231" s="7">
        <v>0.2</v>
      </c>
      <c r="AB231" s="7">
        <v>0.8</v>
      </c>
      <c r="AC231" s="7">
        <v>1.2</v>
      </c>
      <c r="AD231" s="7">
        <v>8</v>
      </c>
    </row>
    <row r="232" spans="1:30" x14ac:dyDescent="0.25">
      <c r="A232" s="5">
        <v>2310</v>
      </c>
      <c r="B232" s="5" t="s">
        <v>293</v>
      </c>
      <c r="C232" s="5">
        <v>21</v>
      </c>
      <c r="D232" s="5" t="s">
        <v>86</v>
      </c>
      <c r="E232" s="5" t="s">
        <v>58</v>
      </c>
      <c r="F232" s="5">
        <v>30</v>
      </c>
      <c r="G232" s="5">
        <v>8</v>
      </c>
      <c r="H232" s="5">
        <v>24.2</v>
      </c>
      <c r="I232" s="5">
        <v>3.1</v>
      </c>
      <c r="J232" s="5">
        <v>7.7</v>
      </c>
      <c r="K232" s="6">
        <f>IFERROR(database_24_25!$I232/database_24_25!$J232,0)</f>
        <v>0.40259740259740262</v>
      </c>
      <c r="L232" s="5">
        <v>1</v>
      </c>
      <c r="M232" s="5">
        <v>3.5</v>
      </c>
      <c r="N232" s="6">
        <f>IFERROR(database_24_25!$L232/database_24_25!$M232,0)</f>
        <v>0.2857142857142857</v>
      </c>
      <c r="O232" s="5">
        <v>2.1</v>
      </c>
      <c r="P232" s="5">
        <f>database_24_25!$Q232/10</f>
        <v>4.2</v>
      </c>
      <c r="Q232" s="5">
        <v>42</v>
      </c>
      <c r="R232" s="6">
        <f>IFERROR(database_24_25!$O232/database_24_25!$P232,0)</f>
        <v>0.5</v>
      </c>
      <c r="S232" s="5">
        <v>0.7</v>
      </c>
      <c r="T232" s="5">
        <v>1</v>
      </c>
      <c r="U232" s="6">
        <f>IFERROR(database_24_25!$S232/database_24_25!$T232,0)</f>
        <v>0.7</v>
      </c>
      <c r="V232" s="5">
        <v>1</v>
      </c>
      <c r="W232" s="5">
        <v>3.5</v>
      </c>
      <c r="X232" s="5">
        <v>4.5</v>
      </c>
      <c r="Y232" s="5">
        <v>3.2</v>
      </c>
      <c r="Z232" s="5">
        <v>1</v>
      </c>
      <c r="AA232" s="5">
        <v>0.2</v>
      </c>
      <c r="AB232" s="5">
        <v>1</v>
      </c>
      <c r="AC232" s="5">
        <v>1.5</v>
      </c>
      <c r="AD232" s="5">
        <v>8</v>
      </c>
    </row>
    <row r="233" spans="1:30" x14ac:dyDescent="0.25">
      <c r="A233" s="5">
        <v>2320</v>
      </c>
      <c r="B233" s="5" t="s">
        <v>294</v>
      </c>
      <c r="C233" s="5">
        <v>27</v>
      </c>
      <c r="D233" s="5" t="s">
        <v>41</v>
      </c>
      <c r="E233" s="5" t="s">
        <v>27</v>
      </c>
      <c r="F233" s="5">
        <v>28</v>
      </c>
      <c r="G233" s="5">
        <v>6</v>
      </c>
      <c r="H233" s="5">
        <v>21.6</v>
      </c>
      <c r="I233" s="5">
        <v>2.9</v>
      </c>
      <c r="J233" s="5">
        <v>6.6</v>
      </c>
      <c r="K233" s="6">
        <f>IFERROR(database_24_25!$I233/database_24_25!$J233,0)</f>
        <v>0.43939393939393939</v>
      </c>
      <c r="L233" s="5">
        <v>2.1</v>
      </c>
      <c r="M233" s="5">
        <v>5.6</v>
      </c>
      <c r="N233" s="6">
        <f>IFERROR(database_24_25!$L233/database_24_25!$M233,0)</f>
        <v>0.37500000000000006</v>
      </c>
      <c r="O233" s="5">
        <v>0.8</v>
      </c>
      <c r="P233" s="5">
        <f>database_24_25!$Q233/10</f>
        <v>1</v>
      </c>
      <c r="Q233" s="5">
        <v>10</v>
      </c>
      <c r="R233" s="6">
        <f>IFERROR(database_24_25!$O233/database_24_25!$P233,0)</f>
        <v>0.8</v>
      </c>
      <c r="S233" s="5">
        <v>0.1</v>
      </c>
      <c r="T233" s="5">
        <v>0.1</v>
      </c>
      <c r="U233" s="6">
        <f>IFERROR(database_24_25!$S233/database_24_25!$T233,0)</f>
        <v>1</v>
      </c>
      <c r="V233" s="5">
        <v>0.8</v>
      </c>
      <c r="W233" s="5">
        <v>2.4</v>
      </c>
      <c r="X233" s="5">
        <v>3.1</v>
      </c>
      <c r="Y233" s="5">
        <v>1.1000000000000001</v>
      </c>
      <c r="Z233" s="5">
        <v>0.8</v>
      </c>
      <c r="AA233" s="5">
        <v>0.2</v>
      </c>
      <c r="AB233" s="5">
        <v>0.3</v>
      </c>
      <c r="AC233" s="5">
        <v>1.1000000000000001</v>
      </c>
      <c r="AD233" s="5">
        <v>7.9</v>
      </c>
    </row>
    <row r="234" spans="1:30" x14ac:dyDescent="0.25">
      <c r="A234" s="7">
        <v>2340</v>
      </c>
      <c r="B234" s="7" t="s">
        <v>296</v>
      </c>
      <c r="C234" s="7">
        <v>21</v>
      </c>
      <c r="D234" s="7" t="s">
        <v>114</v>
      </c>
      <c r="E234" s="7" t="s">
        <v>65</v>
      </c>
      <c r="F234" s="7">
        <v>26</v>
      </c>
      <c r="G234" s="7">
        <v>0</v>
      </c>
      <c r="H234" s="7">
        <v>16.8</v>
      </c>
      <c r="I234" s="7">
        <v>2.8</v>
      </c>
      <c r="J234" s="7">
        <v>6.2</v>
      </c>
      <c r="K234" s="6">
        <f>IFERROR(database_24_25!$I234/database_24_25!$J234,0)</f>
        <v>0.45161290322580638</v>
      </c>
      <c r="L234" s="7">
        <v>1.5</v>
      </c>
      <c r="M234" s="7">
        <v>3.8</v>
      </c>
      <c r="N234" s="6">
        <f>IFERROR(database_24_25!$L234/database_24_25!$M234,0)</f>
        <v>0.39473684210526316</v>
      </c>
      <c r="O234" s="7">
        <v>1.3</v>
      </c>
      <c r="P234" s="5">
        <f>database_24_25!$Q234/10</f>
        <v>2.2999999999999998</v>
      </c>
      <c r="Q234" s="7">
        <v>23</v>
      </c>
      <c r="R234" s="6">
        <f>IFERROR(database_24_25!$O234/database_24_25!$P234,0)</f>
        <v>0.56521739130434789</v>
      </c>
      <c r="S234" s="7">
        <v>0.8</v>
      </c>
      <c r="T234" s="7">
        <v>0.9</v>
      </c>
      <c r="U234" s="6">
        <f>IFERROR(database_24_25!$S234/database_24_25!$T234,0)</f>
        <v>0.88888888888888895</v>
      </c>
      <c r="V234" s="7">
        <v>0.6</v>
      </c>
      <c r="W234" s="7">
        <v>2</v>
      </c>
      <c r="X234" s="7">
        <v>2.6</v>
      </c>
      <c r="Y234" s="7">
        <v>1.3</v>
      </c>
      <c r="Z234" s="7">
        <v>0.6</v>
      </c>
      <c r="AA234" s="7">
        <v>0.1</v>
      </c>
      <c r="AB234" s="7">
        <v>1.4</v>
      </c>
      <c r="AC234" s="7">
        <v>1.2</v>
      </c>
      <c r="AD234" s="7">
        <v>7.8</v>
      </c>
    </row>
    <row r="235" spans="1:30" x14ac:dyDescent="0.25">
      <c r="A235" s="7">
        <v>2330</v>
      </c>
      <c r="B235" s="7" t="s">
        <v>295</v>
      </c>
      <c r="C235" s="7">
        <v>21</v>
      </c>
      <c r="D235" s="7" t="s">
        <v>51</v>
      </c>
      <c r="E235" s="7" t="s">
        <v>58</v>
      </c>
      <c r="F235" s="7">
        <v>33</v>
      </c>
      <c r="G235" s="7">
        <v>12</v>
      </c>
      <c r="H235" s="7">
        <v>22.6</v>
      </c>
      <c r="I235" s="7">
        <v>2.5</v>
      </c>
      <c r="J235" s="7">
        <v>5.4</v>
      </c>
      <c r="K235" s="6">
        <f>IFERROR(database_24_25!$I235/database_24_25!$J235,0)</f>
        <v>0.46296296296296291</v>
      </c>
      <c r="L235" s="7">
        <v>1</v>
      </c>
      <c r="M235" s="7">
        <v>2.8</v>
      </c>
      <c r="N235" s="6">
        <f>IFERROR(database_24_25!$L235/database_24_25!$M235,0)</f>
        <v>0.35714285714285715</v>
      </c>
      <c r="O235" s="7">
        <v>1.4</v>
      </c>
      <c r="P235" s="5">
        <f>database_24_25!$Q235/10</f>
        <v>2.7</v>
      </c>
      <c r="Q235" s="7">
        <v>27</v>
      </c>
      <c r="R235" s="6">
        <f>IFERROR(database_24_25!$O235/database_24_25!$P235,0)</f>
        <v>0.51851851851851849</v>
      </c>
      <c r="S235" s="7">
        <v>1.9</v>
      </c>
      <c r="T235" s="7">
        <v>2.2000000000000002</v>
      </c>
      <c r="U235" s="6">
        <f>IFERROR(database_24_25!$S235/database_24_25!$T235,0)</f>
        <v>0.86363636363636354</v>
      </c>
      <c r="V235" s="7">
        <v>0.7</v>
      </c>
      <c r="W235" s="7">
        <v>1.7</v>
      </c>
      <c r="X235" s="7">
        <v>2.4</v>
      </c>
      <c r="Y235" s="7">
        <v>1.3</v>
      </c>
      <c r="Z235" s="7">
        <v>0.9</v>
      </c>
      <c r="AA235" s="7">
        <v>0.4</v>
      </c>
      <c r="AB235" s="7">
        <v>0.7</v>
      </c>
      <c r="AC235" s="7">
        <v>1.6</v>
      </c>
      <c r="AD235" s="7">
        <v>7.8</v>
      </c>
    </row>
    <row r="236" spans="1:30" x14ac:dyDescent="0.25">
      <c r="A236" s="5">
        <v>2350</v>
      </c>
      <c r="B236" s="5" t="s">
        <v>297</v>
      </c>
      <c r="C236" s="5">
        <v>24</v>
      </c>
      <c r="D236" s="5" t="s">
        <v>90</v>
      </c>
      <c r="E236" s="5" t="s">
        <v>35</v>
      </c>
      <c r="F236" s="5">
        <v>30</v>
      </c>
      <c r="G236" s="5">
        <v>1</v>
      </c>
      <c r="H236" s="5">
        <v>15.4</v>
      </c>
      <c r="I236" s="5">
        <v>2.8</v>
      </c>
      <c r="J236" s="5">
        <v>6.1</v>
      </c>
      <c r="K236" s="6">
        <f>IFERROR(database_24_25!$I236/database_24_25!$J236,0)</f>
        <v>0.45901639344262296</v>
      </c>
      <c r="L236" s="5">
        <v>1.1000000000000001</v>
      </c>
      <c r="M236" s="5">
        <v>3.3</v>
      </c>
      <c r="N236" s="6">
        <f>IFERROR(database_24_25!$L236/database_24_25!$M236,0)</f>
        <v>0.33333333333333337</v>
      </c>
      <c r="O236" s="5">
        <v>1.7</v>
      </c>
      <c r="P236" s="5">
        <f>database_24_25!$Q236/10</f>
        <v>2.8</v>
      </c>
      <c r="Q236" s="5">
        <v>28</v>
      </c>
      <c r="R236" s="6">
        <f>IFERROR(database_24_25!$O236/database_24_25!$P236,0)</f>
        <v>0.60714285714285721</v>
      </c>
      <c r="S236" s="5">
        <v>1.1000000000000001</v>
      </c>
      <c r="T236" s="5">
        <v>1.4</v>
      </c>
      <c r="U236" s="6">
        <f>IFERROR(database_24_25!$S236/database_24_25!$T236,0)</f>
        <v>0.78571428571428581</v>
      </c>
      <c r="V236" s="5">
        <v>1.3</v>
      </c>
      <c r="W236" s="5">
        <v>4.0999999999999996</v>
      </c>
      <c r="X236" s="5">
        <v>5.4</v>
      </c>
      <c r="Y236" s="5">
        <v>0.7</v>
      </c>
      <c r="Z236" s="5">
        <v>0.4</v>
      </c>
      <c r="AA236" s="5">
        <v>0.7</v>
      </c>
      <c r="AB236" s="5">
        <v>0.6</v>
      </c>
      <c r="AC236" s="5">
        <v>1.6</v>
      </c>
      <c r="AD236" s="5">
        <v>7.8</v>
      </c>
    </row>
    <row r="237" spans="1:30" x14ac:dyDescent="0.25">
      <c r="A237" s="7">
        <v>2370</v>
      </c>
      <c r="B237" s="7" t="s">
        <v>299</v>
      </c>
      <c r="C237" s="7">
        <v>27</v>
      </c>
      <c r="D237" s="7" t="s">
        <v>114</v>
      </c>
      <c r="E237" s="7" t="s">
        <v>65</v>
      </c>
      <c r="F237" s="7">
        <v>10</v>
      </c>
      <c r="G237" s="7">
        <v>5</v>
      </c>
      <c r="H237" s="7">
        <v>16.7</v>
      </c>
      <c r="I237" s="7">
        <v>2.7</v>
      </c>
      <c r="J237" s="7">
        <v>6.7</v>
      </c>
      <c r="K237" s="6">
        <f>IFERROR(database_24_25!$I237/database_24_25!$J237,0)</f>
        <v>0.40298507462686567</v>
      </c>
      <c r="L237" s="7">
        <v>1.9</v>
      </c>
      <c r="M237" s="7">
        <v>5.0999999999999996</v>
      </c>
      <c r="N237" s="6">
        <f>IFERROR(database_24_25!$L237/database_24_25!$M237,0)</f>
        <v>0.37254901960784315</v>
      </c>
      <c r="O237" s="7">
        <v>0.8</v>
      </c>
      <c r="P237" s="5">
        <f>database_24_25!$Q237/10</f>
        <v>1.6</v>
      </c>
      <c r="Q237" s="7">
        <v>16</v>
      </c>
      <c r="R237" s="6">
        <f>IFERROR(database_24_25!$O237/database_24_25!$P237,0)</f>
        <v>0.5</v>
      </c>
      <c r="S237" s="7">
        <v>0.4</v>
      </c>
      <c r="T237" s="7">
        <v>0.6</v>
      </c>
      <c r="U237" s="6">
        <f>IFERROR(database_24_25!$S237/database_24_25!$T237,0)</f>
        <v>0.66666666666666674</v>
      </c>
      <c r="V237" s="7">
        <v>0.1</v>
      </c>
      <c r="W237" s="7">
        <v>1.4</v>
      </c>
      <c r="X237" s="7">
        <v>1.5</v>
      </c>
      <c r="Y237" s="7">
        <v>1.3</v>
      </c>
      <c r="Z237" s="7">
        <v>0.8</v>
      </c>
      <c r="AA237" s="7">
        <v>0.2</v>
      </c>
      <c r="AB237" s="7">
        <v>1.4</v>
      </c>
      <c r="AC237" s="7">
        <v>1</v>
      </c>
      <c r="AD237" s="7">
        <v>7.7</v>
      </c>
    </row>
    <row r="238" spans="1:30" x14ac:dyDescent="0.25">
      <c r="A238" s="5">
        <v>2360</v>
      </c>
      <c r="B238" s="5" t="s">
        <v>298</v>
      </c>
      <c r="C238" s="5">
        <v>25</v>
      </c>
      <c r="D238" s="5" t="s">
        <v>29</v>
      </c>
      <c r="E238" s="5" t="s">
        <v>58</v>
      </c>
      <c r="F238" s="5">
        <v>30</v>
      </c>
      <c r="G238" s="5">
        <v>4</v>
      </c>
      <c r="H238" s="5">
        <v>21.6</v>
      </c>
      <c r="I238" s="5">
        <v>2.6</v>
      </c>
      <c r="J238" s="5">
        <v>5.8</v>
      </c>
      <c r="K238" s="6">
        <f>IFERROR(database_24_25!$I238/database_24_25!$J238,0)</f>
        <v>0.44827586206896552</v>
      </c>
      <c r="L238" s="5">
        <v>2.2999999999999998</v>
      </c>
      <c r="M238" s="5">
        <v>5.0999999999999996</v>
      </c>
      <c r="N238" s="6">
        <f>IFERROR(database_24_25!$L238/database_24_25!$M238,0)</f>
        <v>0.45098039215686275</v>
      </c>
      <c r="O238" s="5">
        <v>0.3</v>
      </c>
      <c r="P238" s="5">
        <f>database_24_25!$Q238/10</f>
        <v>0.6</v>
      </c>
      <c r="Q238" s="5">
        <v>6</v>
      </c>
      <c r="R238" s="6">
        <f>IFERROR(database_24_25!$O238/database_24_25!$P238,0)</f>
        <v>0.5</v>
      </c>
      <c r="S238" s="5">
        <v>0.3</v>
      </c>
      <c r="T238" s="5">
        <v>0.3</v>
      </c>
      <c r="U238" s="6">
        <f>IFERROR(database_24_25!$S238/database_24_25!$T238,0)</f>
        <v>1</v>
      </c>
      <c r="V238" s="5">
        <v>0.2</v>
      </c>
      <c r="W238" s="5">
        <v>2.1</v>
      </c>
      <c r="X238" s="5">
        <v>2.2999999999999998</v>
      </c>
      <c r="Y238" s="5">
        <v>1.3</v>
      </c>
      <c r="Z238" s="5">
        <v>0.5</v>
      </c>
      <c r="AA238" s="5">
        <v>0.1</v>
      </c>
      <c r="AB238" s="5">
        <v>0.6</v>
      </c>
      <c r="AC238" s="5">
        <v>2</v>
      </c>
      <c r="AD238" s="5">
        <v>7.7</v>
      </c>
    </row>
    <row r="239" spans="1:30" x14ac:dyDescent="0.25">
      <c r="A239" s="7">
        <v>2380</v>
      </c>
      <c r="B239" s="7" t="s">
        <v>300</v>
      </c>
      <c r="C239" s="7">
        <v>25</v>
      </c>
      <c r="D239" s="7" t="s">
        <v>39</v>
      </c>
      <c r="E239" s="7" t="s">
        <v>35</v>
      </c>
      <c r="F239" s="7">
        <v>23</v>
      </c>
      <c r="G239" s="7">
        <v>19</v>
      </c>
      <c r="H239" s="7">
        <v>24.8</v>
      </c>
      <c r="I239" s="7">
        <v>2.7</v>
      </c>
      <c r="J239" s="7">
        <v>6</v>
      </c>
      <c r="K239" s="6">
        <f>IFERROR(database_24_25!$I239/database_24_25!$J239,0)</f>
        <v>0.45</v>
      </c>
      <c r="L239" s="7">
        <v>0.3</v>
      </c>
      <c r="M239" s="7">
        <v>2</v>
      </c>
      <c r="N239" s="6">
        <f>IFERROR(database_24_25!$L239/database_24_25!$M239,0)</f>
        <v>0.15</v>
      </c>
      <c r="O239" s="7">
        <v>2.4</v>
      </c>
      <c r="P239" s="5">
        <f>database_24_25!$Q239/10</f>
        <v>4</v>
      </c>
      <c r="Q239" s="7">
        <v>40</v>
      </c>
      <c r="R239" s="6">
        <f>IFERROR(database_24_25!$O239/database_24_25!$P239,0)</f>
        <v>0.6</v>
      </c>
      <c r="S239" s="7">
        <v>1.8</v>
      </c>
      <c r="T239" s="7">
        <v>2.6</v>
      </c>
      <c r="U239" s="6">
        <f>IFERROR(database_24_25!$S239/database_24_25!$T239,0)</f>
        <v>0.69230769230769229</v>
      </c>
      <c r="V239" s="7">
        <v>1.6</v>
      </c>
      <c r="W239" s="7">
        <v>5.7</v>
      </c>
      <c r="X239" s="7">
        <v>7.3</v>
      </c>
      <c r="Y239" s="7">
        <v>2.1</v>
      </c>
      <c r="Z239" s="7">
        <v>0.7</v>
      </c>
      <c r="AA239" s="7">
        <v>0.7</v>
      </c>
      <c r="AB239" s="7">
        <v>0.8</v>
      </c>
      <c r="AC239" s="7">
        <v>2.5</v>
      </c>
      <c r="AD239" s="7">
        <v>7.6</v>
      </c>
    </row>
    <row r="240" spans="1:30" x14ac:dyDescent="0.25">
      <c r="A240" s="5">
        <v>2390</v>
      </c>
      <c r="B240" s="5" t="s">
        <v>301</v>
      </c>
      <c r="C240" s="5">
        <v>24</v>
      </c>
      <c r="D240" s="5" t="s">
        <v>75</v>
      </c>
      <c r="E240" s="5" t="s">
        <v>32</v>
      </c>
      <c r="F240" s="5">
        <v>14</v>
      </c>
      <c r="G240" s="5">
        <v>0</v>
      </c>
      <c r="H240" s="5">
        <v>11.5</v>
      </c>
      <c r="I240" s="5">
        <v>2.4</v>
      </c>
      <c r="J240" s="5">
        <v>6.2</v>
      </c>
      <c r="K240" s="6">
        <f>IFERROR(database_24_25!$I240/database_24_25!$J240,0)</f>
        <v>0.38709677419354838</v>
      </c>
      <c r="L240" s="5">
        <v>1.7</v>
      </c>
      <c r="M240" s="5">
        <v>4.3</v>
      </c>
      <c r="N240" s="6">
        <f>IFERROR(database_24_25!$L240/database_24_25!$M240,0)</f>
        <v>0.39534883720930231</v>
      </c>
      <c r="O240" s="5">
        <v>0.6</v>
      </c>
      <c r="P240" s="5">
        <f>database_24_25!$Q240/10</f>
        <v>1.9</v>
      </c>
      <c r="Q240" s="5">
        <v>19</v>
      </c>
      <c r="R240" s="6">
        <f>IFERROR(database_24_25!$O240/database_24_25!$P240,0)</f>
        <v>0.31578947368421051</v>
      </c>
      <c r="S240" s="5">
        <v>1.2</v>
      </c>
      <c r="T240" s="5">
        <v>1.4</v>
      </c>
      <c r="U240" s="6">
        <f>IFERROR(database_24_25!$S240/database_24_25!$T240,0)</f>
        <v>0.85714285714285721</v>
      </c>
      <c r="V240" s="5">
        <v>0.2</v>
      </c>
      <c r="W240" s="5">
        <v>0.9</v>
      </c>
      <c r="X240" s="5">
        <v>1.1000000000000001</v>
      </c>
      <c r="Y240" s="5">
        <v>1.3</v>
      </c>
      <c r="Z240" s="5">
        <v>0.9</v>
      </c>
      <c r="AA240" s="5">
        <v>0.3</v>
      </c>
      <c r="AB240" s="5">
        <v>1.1000000000000001</v>
      </c>
      <c r="AC240" s="5">
        <v>1.2</v>
      </c>
      <c r="AD240" s="5">
        <v>7.6</v>
      </c>
    </row>
    <row r="241" spans="1:30" x14ac:dyDescent="0.25">
      <c r="A241" s="5">
        <v>2410</v>
      </c>
      <c r="B241" s="5" t="s">
        <v>303</v>
      </c>
      <c r="C241" s="5">
        <v>31</v>
      </c>
      <c r="D241" s="5" t="s">
        <v>37</v>
      </c>
      <c r="E241" s="5" t="s">
        <v>32</v>
      </c>
      <c r="F241" s="5">
        <v>22</v>
      </c>
      <c r="G241" s="5">
        <v>11</v>
      </c>
      <c r="H241" s="5">
        <v>22.1</v>
      </c>
      <c r="I241" s="5">
        <v>2.7</v>
      </c>
      <c r="J241" s="5">
        <v>8.1999999999999993</v>
      </c>
      <c r="K241" s="6">
        <f>IFERROR(database_24_25!$I241/database_24_25!$J241,0)</f>
        <v>0.3292682926829269</v>
      </c>
      <c r="L241" s="5">
        <v>1.3</v>
      </c>
      <c r="M241" s="5">
        <v>3.9</v>
      </c>
      <c r="N241" s="6">
        <f>IFERROR(database_24_25!$L241/database_24_25!$M241,0)</f>
        <v>0.33333333333333337</v>
      </c>
      <c r="O241" s="5">
        <v>1.4</v>
      </c>
      <c r="P241" s="5">
        <f>database_24_25!$Q241/10</f>
        <v>4.3</v>
      </c>
      <c r="Q241" s="5">
        <v>43</v>
      </c>
      <c r="R241" s="6">
        <f>IFERROR(database_24_25!$O241/database_24_25!$P241,0)</f>
        <v>0.32558139534883718</v>
      </c>
      <c r="S241" s="5">
        <v>0.8</v>
      </c>
      <c r="T241" s="5">
        <v>1</v>
      </c>
      <c r="U241" s="6">
        <f>IFERROR(database_24_25!$S241/database_24_25!$T241,0)</f>
        <v>0.8</v>
      </c>
      <c r="V241" s="5">
        <v>0.7</v>
      </c>
      <c r="W241" s="5">
        <v>1.9</v>
      </c>
      <c r="X241" s="5">
        <v>2.5</v>
      </c>
      <c r="Y241" s="5">
        <v>3.8</v>
      </c>
      <c r="Z241" s="5">
        <v>0.6</v>
      </c>
      <c r="AA241" s="5">
        <v>0</v>
      </c>
      <c r="AB241" s="5">
        <v>2.2000000000000002</v>
      </c>
      <c r="AC241" s="5">
        <v>1.1000000000000001</v>
      </c>
      <c r="AD241" s="5">
        <v>7.6</v>
      </c>
    </row>
    <row r="242" spans="1:30" x14ac:dyDescent="0.25">
      <c r="A242" s="7">
        <v>2400</v>
      </c>
      <c r="B242" s="7" t="s">
        <v>302</v>
      </c>
      <c r="C242" s="7">
        <v>22</v>
      </c>
      <c r="D242" s="7" t="s">
        <v>60</v>
      </c>
      <c r="E242" s="7" t="s">
        <v>58</v>
      </c>
      <c r="F242" s="7">
        <v>32</v>
      </c>
      <c r="G242" s="7">
        <v>13</v>
      </c>
      <c r="H242" s="7">
        <v>20.100000000000001</v>
      </c>
      <c r="I242" s="7">
        <v>2.8</v>
      </c>
      <c r="J242" s="7">
        <v>7.8</v>
      </c>
      <c r="K242" s="6">
        <f>IFERROR(database_24_25!$I242/database_24_25!$J242,0)</f>
        <v>0.35897435897435898</v>
      </c>
      <c r="L242" s="7">
        <v>1.3</v>
      </c>
      <c r="M242" s="7">
        <v>4.5999999999999996</v>
      </c>
      <c r="N242" s="6">
        <f>IFERROR(database_24_25!$L242/database_24_25!$M242,0)</f>
        <v>0.28260869565217395</v>
      </c>
      <c r="O242" s="7">
        <v>1.5</v>
      </c>
      <c r="P242" s="5">
        <f>database_24_25!$Q242/10</f>
        <v>3.2</v>
      </c>
      <c r="Q242" s="7">
        <v>32</v>
      </c>
      <c r="R242" s="6">
        <f>IFERROR(database_24_25!$O242/database_24_25!$P242,0)</f>
        <v>0.46875</v>
      </c>
      <c r="S242" s="7">
        <v>0.6</v>
      </c>
      <c r="T242" s="7">
        <v>0.8</v>
      </c>
      <c r="U242" s="6">
        <f>IFERROR(database_24_25!$S242/database_24_25!$T242,0)</f>
        <v>0.74999999999999989</v>
      </c>
      <c r="V242" s="7">
        <v>0.7</v>
      </c>
      <c r="W242" s="7">
        <v>2.6</v>
      </c>
      <c r="X242" s="7">
        <v>3.3</v>
      </c>
      <c r="Y242" s="7">
        <v>1.2</v>
      </c>
      <c r="Z242" s="7">
        <v>0.7</v>
      </c>
      <c r="AA242" s="7">
        <v>0.3</v>
      </c>
      <c r="AB242" s="7">
        <v>1.2</v>
      </c>
      <c r="AC242" s="7">
        <v>2.5</v>
      </c>
      <c r="AD242" s="7">
        <v>7.6</v>
      </c>
    </row>
    <row r="243" spans="1:30" x14ac:dyDescent="0.25">
      <c r="A243" s="5">
        <v>2440</v>
      </c>
      <c r="B243" s="5" t="s">
        <v>306</v>
      </c>
      <c r="C243" s="5">
        <v>30</v>
      </c>
      <c r="D243" s="5" t="s">
        <v>29</v>
      </c>
      <c r="E243" s="5" t="s">
        <v>65</v>
      </c>
      <c r="F243" s="5">
        <v>32</v>
      </c>
      <c r="G243" s="5">
        <v>26</v>
      </c>
      <c r="H243" s="5">
        <v>25.7</v>
      </c>
      <c r="I243" s="5">
        <v>2.7</v>
      </c>
      <c r="J243" s="5">
        <v>6</v>
      </c>
      <c r="K243" s="6">
        <f>IFERROR(database_24_25!$I243/database_24_25!$J243,0)</f>
        <v>0.45</v>
      </c>
      <c r="L243" s="5">
        <v>1.7</v>
      </c>
      <c r="M243" s="5">
        <v>3.7</v>
      </c>
      <c r="N243" s="6">
        <f>IFERROR(database_24_25!$L243/database_24_25!$M243,0)</f>
        <v>0.45945945945945943</v>
      </c>
      <c r="O243" s="5">
        <v>1</v>
      </c>
      <c r="P243" s="5">
        <f>database_24_25!$Q243/10</f>
        <v>2.2999999999999998</v>
      </c>
      <c r="Q243" s="5">
        <v>23</v>
      </c>
      <c r="R243" s="6">
        <f>IFERROR(database_24_25!$O243/database_24_25!$P243,0)</f>
        <v>0.43478260869565222</v>
      </c>
      <c r="S243" s="5">
        <v>0.4</v>
      </c>
      <c r="T243" s="5">
        <v>0.6</v>
      </c>
      <c r="U243" s="6">
        <f>IFERROR(database_24_25!$S243/database_24_25!$T243,0)</f>
        <v>0.66666666666666674</v>
      </c>
      <c r="V243" s="5">
        <v>0.7</v>
      </c>
      <c r="W243" s="5">
        <v>3.3</v>
      </c>
      <c r="X243" s="5">
        <v>4</v>
      </c>
      <c r="Y243" s="5">
        <v>1.7</v>
      </c>
      <c r="Z243" s="5">
        <v>0.9</v>
      </c>
      <c r="AA243" s="5">
        <v>0.2</v>
      </c>
      <c r="AB243" s="5">
        <v>1.2</v>
      </c>
      <c r="AC243" s="5">
        <v>2</v>
      </c>
      <c r="AD243" s="5">
        <v>7.5</v>
      </c>
    </row>
    <row r="244" spans="1:30" x14ac:dyDescent="0.25">
      <c r="A244" s="5">
        <v>2430</v>
      </c>
      <c r="B244" s="5" t="s">
        <v>305</v>
      </c>
      <c r="C244" s="5">
        <v>27</v>
      </c>
      <c r="D244" s="5" t="s">
        <v>37</v>
      </c>
      <c r="E244" s="5" t="s">
        <v>58</v>
      </c>
      <c r="F244" s="5">
        <v>8</v>
      </c>
      <c r="G244" s="5">
        <v>0</v>
      </c>
      <c r="H244" s="5">
        <v>19</v>
      </c>
      <c r="I244" s="5">
        <v>3</v>
      </c>
      <c r="J244" s="5">
        <v>5.6</v>
      </c>
      <c r="K244" s="6">
        <f>IFERROR(database_24_25!$I244/database_24_25!$J244,0)</f>
        <v>0.5357142857142857</v>
      </c>
      <c r="L244" s="5">
        <v>1.1000000000000001</v>
      </c>
      <c r="M244" s="5">
        <v>2.5</v>
      </c>
      <c r="N244" s="6">
        <f>IFERROR(database_24_25!$L244/database_24_25!$M244,0)</f>
        <v>0.44000000000000006</v>
      </c>
      <c r="O244" s="5">
        <v>1.9</v>
      </c>
      <c r="P244" s="5">
        <f>database_24_25!$Q244/10</f>
        <v>3.1</v>
      </c>
      <c r="Q244" s="5">
        <v>31</v>
      </c>
      <c r="R244" s="6">
        <f>IFERROR(database_24_25!$O244/database_24_25!$P244,0)</f>
        <v>0.61290322580645151</v>
      </c>
      <c r="S244" s="5">
        <v>0.4</v>
      </c>
      <c r="T244" s="5">
        <v>0.5</v>
      </c>
      <c r="U244" s="6">
        <f>IFERROR(database_24_25!$S244/database_24_25!$T244,0)</f>
        <v>0.8</v>
      </c>
      <c r="V244" s="5">
        <v>0.8</v>
      </c>
      <c r="W244" s="5">
        <v>2.1</v>
      </c>
      <c r="X244" s="5">
        <v>2.9</v>
      </c>
      <c r="Y244" s="5">
        <v>0.6</v>
      </c>
      <c r="Z244" s="5">
        <v>0.6</v>
      </c>
      <c r="AA244" s="5">
        <v>0.6</v>
      </c>
      <c r="AB244" s="5">
        <v>0.8</v>
      </c>
      <c r="AC244" s="5">
        <v>1.8</v>
      </c>
      <c r="AD244" s="5">
        <v>7.5</v>
      </c>
    </row>
    <row r="245" spans="1:30" x14ac:dyDescent="0.25">
      <c r="A245" s="7">
        <v>2420</v>
      </c>
      <c r="B245" s="7" t="s">
        <v>304</v>
      </c>
      <c r="C245" s="7">
        <v>24</v>
      </c>
      <c r="D245" s="7" t="s">
        <v>37</v>
      </c>
      <c r="E245" s="7" t="s">
        <v>58</v>
      </c>
      <c r="F245" s="7">
        <v>31</v>
      </c>
      <c r="G245" s="7">
        <v>30</v>
      </c>
      <c r="H245" s="7">
        <v>29</v>
      </c>
      <c r="I245" s="7">
        <v>2.7</v>
      </c>
      <c r="J245" s="7">
        <v>6.4</v>
      </c>
      <c r="K245" s="6">
        <f>IFERROR(database_24_25!$I245/database_24_25!$J245,0)</f>
        <v>0.421875</v>
      </c>
      <c r="L245" s="7">
        <v>1.5</v>
      </c>
      <c r="M245" s="7">
        <v>3.6</v>
      </c>
      <c r="N245" s="6">
        <f>IFERROR(database_24_25!$L245/database_24_25!$M245,0)</f>
        <v>0.41666666666666663</v>
      </c>
      <c r="O245" s="7">
        <v>1.2</v>
      </c>
      <c r="P245" s="5">
        <f>database_24_25!$Q245/10</f>
        <v>2.8</v>
      </c>
      <c r="Q245" s="7">
        <v>28</v>
      </c>
      <c r="R245" s="6">
        <f>IFERROR(database_24_25!$O245/database_24_25!$P245,0)</f>
        <v>0.4285714285714286</v>
      </c>
      <c r="S245" s="7">
        <v>0.7</v>
      </c>
      <c r="T245" s="7">
        <v>1.1000000000000001</v>
      </c>
      <c r="U245" s="6">
        <f>IFERROR(database_24_25!$S245/database_24_25!$T245,0)</f>
        <v>0.63636363636363624</v>
      </c>
      <c r="V245" s="7">
        <v>1.1000000000000001</v>
      </c>
      <c r="W245" s="7">
        <v>1.6</v>
      </c>
      <c r="X245" s="7">
        <v>2.7</v>
      </c>
      <c r="Y245" s="7">
        <v>1.5</v>
      </c>
      <c r="Z245" s="7">
        <v>0.9</v>
      </c>
      <c r="AA245" s="7">
        <v>0.4</v>
      </c>
      <c r="AB245" s="7">
        <v>1</v>
      </c>
      <c r="AC245" s="7">
        <v>3.1</v>
      </c>
      <c r="AD245" s="7">
        <v>7.5</v>
      </c>
    </row>
    <row r="246" spans="1:30" x14ac:dyDescent="0.25">
      <c r="A246" s="7">
        <v>2450</v>
      </c>
      <c r="B246" s="7" t="s">
        <v>307</v>
      </c>
      <c r="C246" s="7">
        <v>28</v>
      </c>
      <c r="D246" s="7" t="s">
        <v>88</v>
      </c>
      <c r="E246" s="7" t="s">
        <v>27</v>
      </c>
      <c r="F246" s="7">
        <v>32</v>
      </c>
      <c r="G246" s="7">
        <v>18</v>
      </c>
      <c r="H246" s="7">
        <v>18.5</v>
      </c>
      <c r="I246" s="7">
        <v>3.3</v>
      </c>
      <c r="J246" s="7">
        <v>5.5</v>
      </c>
      <c r="K246" s="6">
        <f>IFERROR(database_24_25!$I246/database_24_25!$J246,0)</f>
        <v>0.6</v>
      </c>
      <c r="L246" s="7">
        <v>0</v>
      </c>
      <c r="M246" s="7">
        <v>0.5</v>
      </c>
      <c r="N246" s="6">
        <f>IFERROR(database_24_25!$L246/database_24_25!$M246,0)</f>
        <v>0</v>
      </c>
      <c r="O246" s="7">
        <v>3.3</v>
      </c>
      <c r="P246" s="5">
        <f>database_24_25!$Q246/10</f>
        <v>5</v>
      </c>
      <c r="Q246" s="7">
        <v>50</v>
      </c>
      <c r="R246" s="6">
        <f>IFERROR(database_24_25!$O246/database_24_25!$P246,0)</f>
        <v>0.65999999999999992</v>
      </c>
      <c r="S246" s="7">
        <v>0.8</v>
      </c>
      <c r="T246" s="7">
        <v>1.2</v>
      </c>
      <c r="U246" s="6">
        <f>IFERROR(database_24_25!$S246/database_24_25!$T246,0)</f>
        <v>0.66666666666666674</v>
      </c>
      <c r="V246" s="7">
        <v>1.8</v>
      </c>
      <c r="W246" s="7">
        <v>3.4</v>
      </c>
      <c r="X246" s="7">
        <v>5.2</v>
      </c>
      <c r="Y246" s="7">
        <v>1</v>
      </c>
      <c r="Z246" s="7">
        <v>0.8</v>
      </c>
      <c r="AA246" s="7">
        <v>0.5</v>
      </c>
      <c r="AB246" s="7">
        <v>0.5</v>
      </c>
      <c r="AC246" s="7">
        <v>2.1</v>
      </c>
      <c r="AD246" s="7">
        <v>7.4</v>
      </c>
    </row>
    <row r="247" spans="1:30" x14ac:dyDescent="0.25">
      <c r="A247" s="7">
        <v>2460</v>
      </c>
      <c r="B247" s="7" t="s">
        <v>308</v>
      </c>
      <c r="C247" s="7">
        <v>21</v>
      </c>
      <c r="D247" s="7" t="s">
        <v>94</v>
      </c>
      <c r="E247" s="7" t="s">
        <v>58</v>
      </c>
      <c r="F247" s="7">
        <v>27</v>
      </c>
      <c r="G247" s="7">
        <v>6</v>
      </c>
      <c r="H247" s="7">
        <v>25.4</v>
      </c>
      <c r="I247" s="7">
        <v>2.6</v>
      </c>
      <c r="J247" s="7">
        <v>7.4</v>
      </c>
      <c r="K247" s="6">
        <f>IFERROR(database_24_25!$I247/database_24_25!$J247,0)</f>
        <v>0.35135135135135137</v>
      </c>
      <c r="L247" s="7">
        <v>1.3</v>
      </c>
      <c r="M247" s="7">
        <v>4.9000000000000004</v>
      </c>
      <c r="N247" s="6">
        <f>IFERROR(database_24_25!$L247/database_24_25!$M247,0)</f>
        <v>0.26530612244897961</v>
      </c>
      <c r="O247" s="7">
        <v>1.3</v>
      </c>
      <c r="P247" s="5">
        <f>database_24_25!$Q247/10</f>
        <v>2.5</v>
      </c>
      <c r="Q247" s="7">
        <v>25</v>
      </c>
      <c r="R247" s="6">
        <f>IFERROR(database_24_25!$O247/database_24_25!$P247,0)</f>
        <v>0.52</v>
      </c>
      <c r="S247" s="7">
        <v>0.9</v>
      </c>
      <c r="T247" s="7">
        <v>1.2</v>
      </c>
      <c r="U247" s="6">
        <f>IFERROR(database_24_25!$S247/database_24_25!$T247,0)</f>
        <v>0.75</v>
      </c>
      <c r="V247" s="7">
        <v>0.7</v>
      </c>
      <c r="W247" s="7">
        <v>3.3</v>
      </c>
      <c r="X247" s="7">
        <v>4</v>
      </c>
      <c r="Y247" s="7">
        <v>2.2000000000000002</v>
      </c>
      <c r="Z247" s="7">
        <v>0.7</v>
      </c>
      <c r="AA247" s="7">
        <v>0.7</v>
      </c>
      <c r="AB247" s="7">
        <v>1.1000000000000001</v>
      </c>
      <c r="AC247" s="7">
        <v>2.9</v>
      </c>
      <c r="AD247" s="7">
        <v>7.2</v>
      </c>
    </row>
    <row r="248" spans="1:30" x14ac:dyDescent="0.25">
      <c r="A248" s="5">
        <v>2470</v>
      </c>
      <c r="B248" s="5" t="s">
        <v>309</v>
      </c>
      <c r="C248" s="5">
        <v>33</v>
      </c>
      <c r="D248" s="5" t="s">
        <v>77</v>
      </c>
      <c r="E248" s="5" t="s">
        <v>35</v>
      </c>
      <c r="F248" s="5">
        <v>12</v>
      </c>
      <c r="G248" s="5">
        <v>1</v>
      </c>
      <c r="H248" s="5">
        <v>15.7</v>
      </c>
      <c r="I248" s="5">
        <v>2.4</v>
      </c>
      <c r="J248" s="5">
        <v>5.3</v>
      </c>
      <c r="K248" s="6">
        <f>IFERROR(database_24_25!$I248/database_24_25!$J248,0)</f>
        <v>0.45283018867924529</v>
      </c>
      <c r="L248" s="5">
        <v>0.9</v>
      </c>
      <c r="M248" s="5">
        <v>1.9</v>
      </c>
      <c r="N248" s="6">
        <f>IFERROR(database_24_25!$L248/database_24_25!$M248,0)</f>
        <v>0.47368421052631582</v>
      </c>
      <c r="O248" s="5">
        <v>1.5</v>
      </c>
      <c r="P248" s="5">
        <f>database_24_25!$Q248/10</f>
        <v>3.3</v>
      </c>
      <c r="Q248" s="5">
        <v>33</v>
      </c>
      <c r="R248" s="6">
        <f>IFERROR(database_24_25!$O248/database_24_25!$P248,0)</f>
        <v>0.45454545454545459</v>
      </c>
      <c r="S248" s="5">
        <v>1.4</v>
      </c>
      <c r="T248" s="5">
        <v>1.7</v>
      </c>
      <c r="U248" s="6">
        <f>IFERROR(database_24_25!$S248/database_24_25!$T248,0)</f>
        <v>0.82352941176470584</v>
      </c>
      <c r="V248" s="5">
        <v>1.1000000000000001</v>
      </c>
      <c r="W248" s="5">
        <v>3</v>
      </c>
      <c r="X248" s="5">
        <v>4.0999999999999996</v>
      </c>
      <c r="Y248" s="5">
        <v>2.1</v>
      </c>
      <c r="Z248" s="5">
        <v>0.8</v>
      </c>
      <c r="AA248" s="5">
        <v>0.3</v>
      </c>
      <c r="AB248" s="5">
        <v>1.7</v>
      </c>
      <c r="AC248" s="5">
        <v>2.5</v>
      </c>
      <c r="AD248" s="5">
        <v>7.2</v>
      </c>
    </row>
    <row r="249" spans="1:30" x14ac:dyDescent="0.25">
      <c r="A249" s="7">
        <v>2480</v>
      </c>
      <c r="B249" s="7" t="s">
        <v>310</v>
      </c>
      <c r="C249" s="7">
        <v>22</v>
      </c>
      <c r="D249" s="7" t="s">
        <v>73</v>
      </c>
      <c r="E249" s="7" t="s">
        <v>65</v>
      </c>
      <c r="F249" s="7">
        <v>14</v>
      </c>
      <c r="G249" s="7">
        <v>3</v>
      </c>
      <c r="H249" s="7">
        <v>17.7</v>
      </c>
      <c r="I249" s="7">
        <v>3.1</v>
      </c>
      <c r="J249" s="7">
        <v>6.6</v>
      </c>
      <c r="K249" s="6">
        <f>IFERROR(database_24_25!$I249/database_24_25!$J249,0)</f>
        <v>0.46969696969696972</v>
      </c>
      <c r="L249" s="7">
        <v>0.3</v>
      </c>
      <c r="M249" s="7">
        <v>1.3</v>
      </c>
      <c r="N249" s="6">
        <f>IFERROR(database_24_25!$L249/database_24_25!$M249,0)</f>
        <v>0.23076923076923075</v>
      </c>
      <c r="O249" s="7">
        <v>2.9</v>
      </c>
      <c r="P249" s="5">
        <f>database_24_25!$Q249/10</f>
        <v>5.3</v>
      </c>
      <c r="Q249" s="7">
        <v>53</v>
      </c>
      <c r="R249" s="6">
        <f>IFERROR(database_24_25!$O249/database_24_25!$P249,0)</f>
        <v>0.54716981132075471</v>
      </c>
      <c r="S249" s="7">
        <v>0.6</v>
      </c>
      <c r="T249" s="7">
        <v>1.6</v>
      </c>
      <c r="U249" s="6">
        <f>IFERROR(database_24_25!$S249/database_24_25!$T249,0)</f>
        <v>0.37499999999999994</v>
      </c>
      <c r="V249" s="7">
        <v>1.4</v>
      </c>
      <c r="W249" s="7">
        <v>2.9</v>
      </c>
      <c r="X249" s="7">
        <v>4.3</v>
      </c>
      <c r="Y249" s="7">
        <v>1.6</v>
      </c>
      <c r="Z249" s="7">
        <v>1.1000000000000001</v>
      </c>
      <c r="AA249" s="7">
        <v>0.3</v>
      </c>
      <c r="AB249" s="7">
        <v>1.6</v>
      </c>
      <c r="AC249" s="7">
        <v>2.6</v>
      </c>
      <c r="AD249" s="7">
        <v>7.2</v>
      </c>
    </row>
    <row r="250" spans="1:30" x14ac:dyDescent="0.25">
      <c r="A250" s="7">
        <v>2500</v>
      </c>
      <c r="B250" s="7" t="s">
        <v>312</v>
      </c>
      <c r="C250" s="7">
        <v>23</v>
      </c>
      <c r="D250" s="7" t="s">
        <v>114</v>
      </c>
      <c r="E250" s="7" t="s">
        <v>58</v>
      </c>
      <c r="F250" s="7">
        <v>28</v>
      </c>
      <c r="G250" s="7">
        <v>2</v>
      </c>
      <c r="H250" s="7">
        <v>17.100000000000001</v>
      </c>
      <c r="I250" s="7">
        <v>2.4</v>
      </c>
      <c r="J250" s="7">
        <v>5.7</v>
      </c>
      <c r="K250" s="6">
        <f>IFERROR(database_24_25!$I250/database_24_25!$J250,0)</f>
        <v>0.42105263157894735</v>
      </c>
      <c r="L250" s="7">
        <v>1.6</v>
      </c>
      <c r="M250" s="7">
        <v>4.0999999999999996</v>
      </c>
      <c r="N250" s="6">
        <f>IFERROR(database_24_25!$L250/database_24_25!$M250,0)</f>
        <v>0.39024390243902446</v>
      </c>
      <c r="O250" s="7">
        <v>0.8</v>
      </c>
      <c r="P250" s="5">
        <f>database_24_25!$Q250/10</f>
        <v>1.6</v>
      </c>
      <c r="Q250" s="7">
        <v>16</v>
      </c>
      <c r="R250" s="6">
        <f>IFERROR(database_24_25!$O250/database_24_25!$P250,0)</f>
        <v>0.5</v>
      </c>
      <c r="S250" s="7">
        <v>0.6</v>
      </c>
      <c r="T250" s="7">
        <v>0.8</v>
      </c>
      <c r="U250" s="6">
        <f>IFERROR(database_24_25!$S250/database_24_25!$T250,0)</f>
        <v>0.74999999999999989</v>
      </c>
      <c r="V250" s="7">
        <v>0.6</v>
      </c>
      <c r="W250" s="7">
        <v>1.9</v>
      </c>
      <c r="X250" s="7">
        <v>2.5</v>
      </c>
      <c r="Y250" s="7">
        <v>0.9</v>
      </c>
      <c r="Z250" s="7">
        <v>0.4</v>
      </c>
      <c r="AA250" s="7">
        <v>0.1</v>
      </c>
      <c r="AB250" s="7">
        <v>0.5</v>
      </c>
      <c r="AC250" s="7">
        <v>1.9</v>
      </c>
      <c r="AD250" s="7">
        <v>7.1</v>
      </c>
    </row>
    <row r="251" spans="1:30" x14ac:dyDescent="0.25">
      <c r="A251" s="5">
        <v>2510</v>
      </c>
      <c r="B251" s="5" t="s">
        <v>313</v>
      </c>
      <c r="C251" s="5">
        <v>29</v>
      </c>
      <c r="D251" s="5" t="s">
        <v>47</v>
      </c>
      <c r="E251" s="5" t="s">
        <v>27</v>
      </c>
      <c r="F251" s="5">
        <v>25</v>
      </c>
      <c r="G251" s="5">
        <v>2</v>
      </c>
      <c r="H251" s="5">
        <v>20.5</v>
      </c>
      <c r="I251" s="5">
        <v>2.4</v>
      </c>
      <c r="J251" s="5">
        <v>5.7</v>
      </c>
      <c r="K251" s="6">
        <f>IFERROR(database_24_25!$I251/database_24_25!$J251,0)</f>
        <v>0.42105263157894735</v>
      </c>
      <c r="L251" s="5">
        <v>1.6</v>
      </c>
      <c r="M251" s="5">
        <v>4.0999999999999996</v>
      </c>
      <c r="N251" s="6">
        <f>IFERROR(database_24_25!$L251/database_24_25!$M251,0)</f>
        <v>0.39024390243902446</v>
      </c>
      <c r="O251" s="5">
        <v>0.8</v>
      </c>
      <c r="P251" s="5">
        <f>database_24_25!$Q251/10</f>
        <v>1.6</v>
      </c>
      <c r="Q251" s="5">
        <v>16</v>
      </c>
      <c r="R251" s="6">
        <f>IFERROR(database_24_25!$O251/database_24_25!$P251,0)</f>
        <v>0.5</v>
      </c>
      <c r="S251" s="5">
        <v>0.8</v>
      </c>
      <c r="T251" s="5">
        <v>1</v>
      </c>
      <c r="U251" s="6">
        <f>IFERROR(database_24_25!$S251/database_24_25!$T251,0)</f>
        <v>0.8</v>
      </c>
      <c r="V251" s="5">
        <v>0.9</v>
      </c>
      <c r="W251" s="5">
        <v>3.4</v>
      </c>
      <c r="X251" s="5">
        <v>4.3</v>
      </c>
      <c r="Y251" s="5">
        <v>0.9</v>
      </c>
      <c r="Z251" s="5">
        <v>0.6</v>
      </c>
      <c r="AA251" s="5">
        <v>0.5</v>
      </c>
      <c r="AB251" s="5">
        <v>0.6</v>
      </c>
      <c r="AC251" s="5">
        <v>1.3</v>
      </c>
      <c r="AD251" s="5">
        <v>7.1</v>
      </c>
    </row>
    <row r="252" spans="1:30" x14ac:dyDescent="0.25">
      <c r="A252" s="5">
        <v>2490</v>
      </c>
      <c r="B252" s="5" t="s">
        <v>311</v>
      </c>
      <c r="C252" s="5">
        <v>22</v>
      </c>
      <c r="D252" s="5" t="s">
        <v>43</v>
      </c>
      <c r="E252" s="5" t="s">
        <v>58</v>
      </c>
      <c r="F252" s="5">
        <v>27</v>
      </c>
      <c r="G252" s="5">
        <v>3</v>
      </c>
      <c r="H252" s="5">
        <v>15</v>
      </c>
      <c r="I252" s="5">
        <v>2.6</v>
      </c>
      <c r="J252" s="5">
        <v>6.1</v>
      </c>
      <c r="K252" s="6">
        <f>IFERROR(database_24_25!$I252/database_24_25!$J252,0)</f>
        <v>0.42622950819672134</v>
      </c>
      <c r="L252" s="5">
        <v>1</v>
      </c>
      <c r="M252" s="5">
        <v>2.8</v>
      </c>
      <c r="N252" s="6">
        <f>IFERROR(database_24_25!$L252/database_24_25!$M252,0)</f>
        <v>0.35714285714285715</v>
      </c>
      <c r="O252" s="5">
        <v>1.6</v>
      </c>
      <c r="P252" s="5">
        <f>database_24_25!$Q252/10</f>
        <v>3.3</v>
      </c>
      <c r="Q252" s="5">
        <v>33</v>
      </c>
      <c r="R252" s="6">
        <f>IFERROR(database_24_25!$O252/database_24_25!$P252,0)</f>
        <v>0.48484848484848492</v>
      </c>
      <c r="S252" s="5">
        <v>1</v>
      </c>
      <c r="T252" s="5">
        <v>1.3</v>
      </c>
      <c r="U252" s="6">
        <f>IFERROR(database_24_25!$S252/database_24_25!$T252,0)</f>
        <v>0.76923076923076916</v>
      </c>
      <c r="V252" s="5">
        <v>0.2</v>
      </c>
      <c r="W252" s="5">
        <v>1.3</v>
      </c>
      <c r="X252" s="5">
        <v>1.5</v>
      </c>
      <c r="Y252" s="5">
        <v>1.3</v>
      </c>
      <c r="Z252" s="5">
        <v>0.6</v>
      </c>
      <c r="AA252" s="5">
        <v>0.1</v>
      </c>
      <c r="AB252" s="5">
        <v>1.4</v>
      </c>
      <c r="AC252" s="5">
        <v>1.5</v>
      </c>
      <c r="AD252" s="5">
        <v>7.1</v>
      </c>
    </row>
    <row r="253" spans="1:30" x14ac:dyDescent="0.25">
      <c r="A253" s="7">
        <v>2530</v>
      </c>
      <c r="B253" s="7" t="s">
        <v>315</v>
      </c>
      <c r="C253" s="7">
        <v>31</v>
      </c>
      <c r="D253" s="7" t="s">
        <v>53</v>
      </c>
      <c r="E253" s="7" t="s">
        <v>35</v>
      </c>
      <c r="F253" s="7">
        <v>25</v>
      </c>
      <c r="G253" s="7">
        <v>14</v>
      </c>
      <c r="H253" s="7">
        <v>19.3</v>
      </c>
      <c r="I253" s="7">
        <v>2.8</v>
      </c>
      <c r="J253" s="7">
        <v>5.6</v>
      </c>
      <c r="K253" s="6">
        <f>IFERROR(database_24_25!$I253/database_24_25!$J253,0)</f>
        <v>0.5</v>
      </c>
      <c r="L253" s="7">
        <v>0</v>
      </c>
      <c r="M253" s="7">
        <v>0.4</v>
      </c>
      <c r="N253" s="6">
        <f>IFERROR(database_24_25!$L253/database_24_25!$M253,0)</f>
        <v>0</v>
      </c>
      <c r="O253" s="7">
        <v>2.8</v>
      </c>
      <c r="P253" s="5">
        <f>database_24_25!$Q253/10</f>
        <v>5.2</v>
      </c>
      <c r="Q253" s="7">
        <v>52</v>
      </c>
      <c r="R253" s="6">
        <f>IFERROR(database_24_25!$O253/database_24_25!$P253,0)</f>
        <v>0.53846153846153844</v>
      </c>
      <c r="S253" s="7">
        <v>1.3</v>
      </c>
      <c r="T253" s="7">
        <v>2.2999999999999998</v>
      </c>
      <c r="U253" s="6">
        <f>IFERROR(database_24_25!$S253/database_24_25!$T253,0)</f>
        <v>0.56521739130434789</v>
      </c>
      <c r="V253" s="7">
        <v>2.8</v>
      </c>
      <c r="W253" s="7">
        <v>5.3</v>
      </c>
      <c r="X253" s="7">
        <v>8.1</v>
      </c>
      <c r="Y253" s="7">
        <v>0.6</v>
      </c>
      <c r="Z253" s="7">
        <v>1.2</v>
      </c>
      <c r="AA253" s="7">
        <v>0.4</v>
      </c>
      <c r="AB253" s="7">
        <v>1.7</v>
      </c>
      <c r="AC253" s="7">
        <v>2.5</v>
      </c>
      <c r="AD253" s="7">
        <v>7</v>
      </c>
    </row>
    <row r="254" spans="1:30" x14ac:dyDescent="0.25">
      <c r="A254" s="7">
        <v>2540</v>
      </c>
      <c r="B254" s="7" t="s">
        <v>316</v>
      </c>
      <c r="C254" s="7">
        <v>30</v>
      </c>
      <c r="D254" s="7" t="s">
        <v>75</v>
      </c>
      <c r="E254" s="7" t="s">
        <v>32</v>
      </c>
      <c r="F254" s="7">
        <v>34</v>
      </c>
      <c r="G254" s="7">
        <v>23</v>
      </c>
      <c r="H254" s="7">
        <v>23.9</v>
      </c>
      <c r="I254" s="7">
        <v>2.9</v>
      </c>
      <c r="J254" s="7">
        <v>6.4</v>
      </c>
      <c r="K254" s="6">
        <f>IFERROR(database_24_25!$I254/database_24_25!$J254,0)</f>
        <v>0.45312499999999994</v>
      </c>
      <c r="L254" s="7">
        <v>1.1000000000000001</v>
      </c>
      <c r="M254" s="7">
        <v>3.3</v>
      </c>
      <c r="N254" s="6">
        <f>IFERROR(database_24_25!$L254/database_24_25!$M254,0)</f>
        <v>0.33333333333333337</v>
      </c>
      <c r="O254" s="7">
        <v>1.7</v>
      </c>
      <c r="P254" s="5">
        <f>database_24_25!$Q254/10</f>
        <v>3.1</v>
      </c>
      <c r="Q254" s="7">
        <v>31</v>
      </c>
      <c r="R254" s="6">
        <f>IFERROR(database_24_25!$O254/database_24_25!$P254,0)</f>
        <v>0.54838709677419351</v>
      </c>
      <c r="S254" s="7">
        <v>0.2</v>
      </c>
      <c r="T254" s="7">
        <v>0.4</v>
      </c>
      <c r="U254" s="6">
        <f>IFERROR(database_24_25!$S254/database_24_25!$T254,0)</f>
        <v>0.5</v>
      </c>
      <c r="V254" s="7">
        <v>0.7</v>
      </c>
      <c r="W254" s="7">
        <v>2.8</v>
      </c>
      <c r="X254" s="7">
        <v>3.5</v>
      </c>
      <c r="Y254" s="7">
        <v>2.9</v>
      </c>
      <c r="Z254" s="7">
        <v>1.7</v>
      </c>
      <c r="AA254" s="7">
        <v>0.3</v>
      </c>
      <c r="AB254" s="7">
        <v>1.2</v>
      </c>
      <c r="AC254" s="7">
        <v>2.5</v>
      </c>
      <c r="AD254" s="7">
        <v>7</v>
      </c>
    </row>
    <row r="255" spans="1:30" x14ac:dyDescent="0.25">
      <c r="A255" s="5">
        <v>2550</v>
      </c>
      <c r="B255" s="5" t="s">
        <v>317</v>
      </c>
      <c r="C255" s="5">
        <v>23</v>
      </c>
      <c r="D255" s="5" t="s">
        <v>108</v>
      </c>
      <c r="E255" s="5" t="s">
        <v>35</v>
      </c>
      <c r="F255" s="5">
        <v>5</v>
      </c>
      <c r="G255" s="5">
        <v>1</v>
      </c>
      <c r="H255" s="5">
        <v>16.8</v>
      </c>
      <c r="I255" s="5">
        <v>2.8</v>
      </c>
      <c r="J255" s="5">
        <v>4.5999999999999996</v>
      </c>
      <c r="K255" s="6">
        <f>IFERROR(database_24_25!$I255/database_24_25!$J255,0)</f>
        <v>0.60869565217391308</v>
      </c>
      <c r="L255" s="5">
        <v>0</v>
      </c>
      <c r="M255" s="5">
        <v>0</v>
      </c>
      <c r="N255" s="6">
        <f>IFERROR(database_24_25!$L255/database_24_25!$M255,0)</f>
        <v>0</v>
      </c>
      <c r="O255" s="5">
        <v>2.8</v>
      </c>
      <c r="P255" s="5">
        <f>database_24_25!$Q255/10</f>
        <v>4.5999999999999996</v>
      </c>
      <c r="Q255" s="5">
        <v>46</v>
      </c>
      <c r="R255" s="6">
        <f>IFERROR(database_24_25!$O255/database_24_25!$P255,0)</f>
        <v>0.60869565217391308</v>
      </c>
      <c r="S255" s="5">
        <v>1.4</v>
      </c>
      <c r="T255" s="5">
        <v>2.8</v>
      </c>
      <c r="U255" s="6">
        <f>IFERROR(database_24_25!$S255/database_24_25!$T255,0)</f>
        <v>0.5</v>
      </c>
      <c r="V255" s="5">
        <v>2.2000000000000002</v>
      </c>
      <c r="W255" s="5">
        <v>3.4</v>
      </c>
      <c r="X255" s="5">
        <v>5.6</v>
      </c>
      <c r="Y255" s="5">
        <v>1</v>
      </c>
      <c r="Z255" s="5">
        <v>0.6</v>
      </c>
      <c r="AA255" s="5">
        <v>1.6</v>
      </c>
      <c r="AB255" s="5">
        <v>1</v>
      </c>
      <c r="AC255" s="5">
        <v>2.8</v>
      </c>
      <c r="AD255" s="5">
        <v>7</v>
      </c>
    </row>
    <row r="256" spans="1:30" x14ac:dyDescent="0.25">
      <c r="A256" s="5">
        <v>2560</v>
      </c>
      <c r="B256" s="5" t="s">
        <v>318</v>
      </c>
      <c r="C256" s="5">
        <v>28</v>
      </c>
      <c r="D256" s="5" t="s">
        <v>79</v>
      </c>
      <c r="E256" s="5" t="s">
        <v>58</v>
      </c>
      <c r="F256" s="5">
        <v>29</v>
      </c>
      <c r="G256" s="5">
        <v>2</v>
      </c>
      <c r="H256" s="5">
        <v>19.2</v>
      </c>
      <c r="I256" s="5">
        <v>2.2999999999999998</v>
      </c>
      <c r="J256" s="5">
        <v>6</v>
      </c>
      <c r="K256" s="6">
        <f>IFERROR(database_24_25!$I256/database_24_25!$J256,0)</f>
        <v>0.3833333333333333</v>
      </c>
      <c r="L256" s="5">
        <v>1.8</v>
      </c>
      <c r="M256" s="5">
        <v>5.2</v>
      </c>
      <c r="N256" s="6">
        <f>IFERROR(database_24_25!$L256/database_24_25!$M256,0)</f>
        <v>0.34615384615384615</v>
      </c>
      <c r="O256" s="5">
        <v>0.5</v>
      </c>
      <c r="P256" s="5">
        <f>database_24_25!$Q256/10</f>
        <v>0.8</v>
      </c>
      <c r="Q256" s="5">
        <v>8</v>
      </c>
      <c r="R256" s="6">
        <f>IFERROR(database_24_25!$O256/database_24_25!$P256,0)</f>
        <v>0.625</v>
      </c>
      <c r="S256" s="5">
        <v>0.6</v>
      </c>
      <c r="T256" s="5">
        <v>0.6</v>
      </c>
      <c r="U256" s="6">
        <f>IFERROR(database_24_25!$S256/database_24_25!$T256,0)</f>
        <v>1</v>
      </c>
      <c r="V256" s="5">
        <v>0.4</v>
      </c>
      <c r="W256" s="5">
        <v>1.4</v>
      </c>
      <c r="X256" s="5">
        <v>1.8</v>
      </c>
      <c r="Y256" s="5">
        <v>1.6</v>
      </c>
      <c r="Z256" s="5">
        <v>0.6</v>
      </c>
      <c r="AA256" s="5">
        <v>0.2</v>
      </c>
      <c r="AB256" s="5">
        <v>0.5</v>
      </c>
      <c r="AC256" s="5">
        <v>2</v>
      </c>
      <c r="AD256" s="5">
        <v>7</v>
      </c>
    </row>
    <row r="257" spans="1:30" x14ac:dyDescent="0.25">
      <c r="A257" s="7">
        <v>2520</v>
      </c>
      <c r="B257" s="7" t="s">
        <v>314</v>
      </c>
      <c r="C257" s="7">
        <v>28</v>
      </c>
      <c r="D257" s="7" t="s">
        <v>146</v>
      </c>
      <c r="E257" s="7" t="s">
        <v>58</v>
      </c>
      <c r="F257" s="7">
        <v>30</v>
      </c>
      <c r="G257" s="7">
        <v>1</v>
      </c>
      <c r="H257" s="7">
        <v>17.7</v>
      </c>
      <c r="I257" s="7">
        <v>2.6</v>
      </c>
      <c r="J257" s="7">
        <v>5.6</v>
      </c>
      <c r="K257" s="6">
        <f>IFERROR(database_24_25!$I257/database_24_25!$J257,0)</f>
        <v>0.46428571428571436</v>
      </c>
      <c r="L257" s="7">
        <v>1</v>
      </c>
      <c r="M257" s="7">
        <v>2.7</v>
      </c>
      <c r="N257" s="6">
        <f>IFERROR(database_24_25!$L257/database_24_25!$M257,0)</f>
        <v>0.37037037037037035</v>
      </c>
      <c r="O257" s="7">
        <v>1.6</v>
      </c>
      <c r="P257" s="5">
        <f>database_24_25!$Q257/10</f>
        <v>2.9</v>
      </c>
      <c r="Q257" s="7">
        <v>29</v>
      </c>
      <c r="R257" s="6">
        <f>IFERROR(database_24_25!$O257/database_24_25!$P257,0)</f>
        <v>0.55172413793103448</v>
      </c>
      <c r="S257" s="7">
        <v>0.9</v>
      </c>
      <c r="T257" s="7">
        <v>1.2</v>
      </c>
      <c r="U257" s="6">
        <f>IFERROR(database_24_25!$S257/database_24_25!$T257,0)</f>
        <v>0.75</v>
      </c>
      <c r="V257" s="7">
        <v>0.5</v>
      </c>
      <c r="W257" s="7">
        <v>1.5</v>
      </c>
      <c r="X257" s="7">
        <v>2</v>
      </c>
      <c r="Y257" s="7">
        <v>2.2999999999999998</v>
      </c>
      <c r="Z257" s="7">
        <v>0.5</v>
      </c>
      <c r="AA257" s="7">
        <v>0.1</v>
      </c>
      <c r="AB257" s="7">
        <v>0.7</v>
      </c>
      <c r="AC257" s="7">
        <v>1.5</v>
      </c>
      <c r="AD257" s="7">
        <v>7</v>
      </c>
    </row>
    <row r="258" spans="1:30" x14ac:dyDescent="0.25">
      <c r="A258" s="5">
        <v>2580</v>
      </c>
      <c r="B258" s="5" t="s">
        <v>320</v>
      </c>
      <c r="C258" s="5">
        <v>28</v>
      </c>
      <c r="D258" s="5" t="s">
        <v>70</v>
      </c>
      <c r="E258" s="5" t="s">
        <v>65</v>
      </c>
      <c r="F258" s="5">
        <v>30</v>
      </c>
      <c r="G258" s="5">
        <v>23</v>
      </c>
      <c r="H258" s="5">
        <v>24.7</v>
      </c>
      <c r="I258" s="5">
        <v>2.6</v>
      </c>
      <c r="J258" s="5">
        <v>5.3</v>
      </c>
      <c r="K258" s="6">
        <f>IFERROR(database_24_25!$I258/database_24_25!$J258,0)</f>
        <v>0.49056603773584911</v>
      </c>
      <c r="L258" s="5">
        <v>1.3</v>
      </c>
      <c r="M258" s="5">
        <v>3.1</v>
      </c>
      <c r="N258" s="6">
        <f>IFERROR(database_24_25!$L258/database_24_25!$M258,0)</f>
        <v>0.41935483870967744</v>
      </c>
      <c r="O258" s="5">
        <v>1.3</v>
      </c>
      <c r="P258" s="5">
        <f>database_24_25!$Q258/10</f>
        <v>2.2999999999999998</v>
      </c>
      <c r="Q258" s="5">
        <v>23</v>
      </c>
      <c r="R258" s="6">
        <f>IFERROR(database_24_25!$O258/database_24_25!$P258,0)</f>
        <v>0.56521739130434789</v>
      </c>
      <c r="S258" s="5">
        <v>0.4</v>
      </c>
      <c r="T258" s="5">
        <v>0.6</v>
      </c>
      <c r="U258" s="6">
        <f>IFERROR(database_24_25!$S258/database_24_25!$T258,0)</f>
        <v>0.66666666666666674</v>
      </c>
      <c r="V258" s="5">
        <v>0.9</v>
      </c>
      <c r="W258" s="5">
        <v>2.4</v>
      </c>
      <c r="X258" s="5">
        <v>3.3</v>
      </c>
      <c r="Y258" s="5">
        <v>1.1000000000000001</v>
      </c>
      <c r="Z258" s="5">
        <v>1</v>
      </c>
      <c r="AA258" s="5">
        <v>0.6</v>
      </c>
      <c r="AB258" s="5">
        <v>0.9</v>
      </c>
      <c r="AC258" s="5">
        <v>2.2000000000000002</v>
      </c>
      <c r="AD258" s="5">
        <v>6.9</v>
      </c>
    </row>
    <row r="259" spans="1:30" x14ac:dyDescent="0.25">
      <c r="A259" s="7">
        <v>2570</v>
      </c>
      <c r="B259" s="7" t="s">
        <v>319</v>
      </c>
      <c r="C259" s="7">
        <v>34</v>
      </c>
      <c r="D259" s="7" t="s">
        <v>90</v>
      </c>
      <c r="E259" s="7" t="s">
        <v>65</v>
      </c>
      <c r="F259" s="7">
        <v>9</v>
      </c>
      <c r="G259" s="7">
        <v>1</v>
      </c>
      <c r="H259" s="7">
        <v>12.6</v>
      </c>
      <c r="I259" s="7">
        <v>2.4</v>
      </c>
      <c r="J259" s="7">
        <v>5</v>
      </c>
      <c r="K259" s="6">
        <f>IFERROR(database_24_25!$I259/database_24_25!$J259,0)</f>
        <v>0.48</v>
      </c>
      <c r="L259" s="7">
        <v>1.7</v>
      </c>
      <c r="M259" s="7">
        <v>3.9</v>
      </c>
      <c r="N259" s="6">
        <f>IFERROR(database_24_25!$L259/database_24_25!$M259,0)</f>
        <v>0.4358974358974359</v>
      </c>
      <c r="O259" s="7">
        <v>0.8</v>
      </c>
      <c r="P259" s="5">
        <f>database_24_25!$Q259/10</f>
        <v>1.1000000000000001</v>
      </c>
      <c r="Q259" s="7">
        <v>11</v>
      </c>
      <c r="R259" s="6">
        <f>IFERROR(database_24_25!$O259/database_24_25!$P259,0)</f>
        <v>0.72727272727272729</v>
      </c>
      <c r="S259" s="7">
        <v>0.3</v>
      </c>
      <c r="T259" s="7">
        <v>0.4</v>
      </c>
      <c r="U259" s="6">
        <f>IFERROR(database_24_25!$S259/database_24_25!$T259,0)</f>
        <v>0.74999999999999989</v>
      </c>
      <c r="V259" s="7">
        <v>0.9</v>
      </c>
      <c r="W259" s="7">
        <v>1.9</v>
      </c>
      <c r="X259" s="7">
        <v>2.8</v>
      </c>
      <c r="Y259" s="7">
        <v>0.6</v>
      </c>
      <c r="Z259" s="7">
        <v>0.2</v>
      </c>
      <c r="AA259" s="7">
        <v>0.1</v>
      </c>
      <c r="AB259" s="7">
        <v>0</v>
      </c>
      <c r="AC259" s="7">
        <v>1.7</v>
      </c>
      <c r="AD259" s="7">
        <v>6.9</v>
      </c>
    </row>
    <row r="260" spans="1:30" x14ac:dyDescent="0.25">
      <c r="A260" s="7">
        <v>2620</v>
      </c>
      <c r="B260" s="7" t="s">
        <v>324</v>
      </c>
      <c r="C260" s="7">
        <v>27</v>
      </c>
      <c r="D260" s="7" t="s">
        <v>124</v>
      </c>
      <c r="E260" s="7" t="s">
        <v>35</v>
      </c>
      <c r="F260" s="7">
        <v>11</v>
      </c>
      <c r="G260" s="7">
        <v>1</v>
      </c>
      <c r="H260" s="7">
        <v>16.5</v>
      </c>
      <c r="I260" s="7">
        <v>2.8</v>
      </c>
      <c r="J260" s="7">
        <v>3.9</v>
      </c>
      <c r="K260" s="6">
        <f>IFERROR(database_24_25!$I260/database_24_25!$J260,0)</f>
        <v>0.71794871794871795</v>
      </c>
      <c r="L260" s="7">
        <v>0.1</v>
      </c>
      <c r="M260" s="7">
        <v>0.3</v>
      </c>
      <c r="N260" s="6">
        <f>IFERROR(database_24_25!$L260/database_24_25!$M260,0)</f>
        <v>0.33333333333333337</v>
      </c>
      <c r="O260" s="7">
        <v>2.7</v>
      </c>
      <c r="P260" s="5">
        <f>database_24_25!$Q260/10</f>
        <v>3.6</v>
      </c>
      <c r="Q260" s="7">
        <v>36</v>
      </c>
      <c r="R260" s="6">
        <f>IFERROR(database_24_25!$O260/database_24_25!$P260,0)</f>
        <v>0.75</v>
      </c>
      <c r="S260" s="7">
        <v>1.1000000000000001</v>
      </c>
      <c r="T260" s="7">
        <v>1.2</v>
      </c>
      <c r="U260" s="6">
        <f>IFERROR(database_24_25!$S260/database_24_25!$T260,0)</f>
        <v>0.91666666666666674</v>
      </c>
      <c r="V260" s="7">
        <v>1.6</v>
      </c>
      <c r="W260" s="7">
        <v>3.3</v>
      </c>
      <c r="X260" s="7">
        <v>4.9000000000000004</v>
      </c>
      <c r="Y260" s="7">
        <v>1.1000000000000001</v>
      </c>
      <c r="Z260" s="7">
        <v>0.7</v>
      </c>
      <c r="AA260" s="7">
        <v>1.5</v>
      </c>
      <c r="AB260" s="7">
        <v>0.8</v>
      </c>
      <c r="AC260" s="7">
        <v>1.1000000000000001</v>
      </c>
      <c r="AD260" s="7">
        <v>6.8</v>
      </c>
    </row>
    <row r="261" spans="1:30" x14ac:dyDescent="0.25">
      <c r="A261" s="5">
        <v>2590</v>
      </c>
      <c r="B261" s="5" t="s">
        <v>321</v>
      </c>
      <c r="C261" s="5">
        <v>26</v>
      </c>
      <c r="D261" s="5" t="s">
        <v>45</v>
      </c>
      <c r="E261" s="5" t="s">
        <v>58</v>
      </c>
      <c r="F261" s="5">
        <v>20</v>
      </c>
      <c r="G261" s="5">
        <v>1</v>
      </c>
      <c r="H261" s="5">
        <v>15.7</v>
      </c>
      <c r="I261" s="5">
        <v>2.6</v>
      </c>
      <c r="J261" s="5">
        <v>5.3</v>
      </c>
      <c r="K261" s="6">
        <f>IFERROR(database_24_25!$I261/database_24_25!$J261,0)</f>
        <v>0.49056603773584911</v>
      </c>
      <c r="L261" s="5">
        <v>0.8</v>
      </c>
      <c r="M261" s="5">
        <v>2</v>
      </c>
      <c r="N261" s="6">
        <f>IFERROR(database_24_25!$L261/database_24_25!$M261,0)</f>
        <v>0.4</v>
      </c>
      <c r="O261" s="5">
        <v>1.8</v>
      </c>
      <c r="P261" s="5">
        <f>database_24_25!$Q261/10</f>
        <v>3.3</v>
      </c>
      <c r="Q261" s="5">
        <v>33</v>
      </c>
      <c r="R261" s="6">
        <f>IFERROR(database_24_25!$O261/database_24_25!$P261,0)</f>
        <v>0.54545454545454553</v>
      </c>
      <c r="S261" s="5">
        <v>0.9</v>
      </c>
      <c r="T261" s="5">
        <v>1.4</v>
      </c>
      <c r="U261" s="6">
        <f>IFERROR(database_24_25!$S261/database_24_25!$T261,0)</f>
        <v>0.6428571428571429</v>
      </c>
      <c r="V261" s="5">
        <v>1.5</v>
      </c>
      <c r="W261" s="5">
        <v>1.7</v>
      </c>
      <c r="X261" s="5">
        <v>3.2</v>
      </c>
      <c r="Y261" s="5">
        <v>0.5</v>
      </c>
      <c r="Z261" s="5">
        <v>1</v>
      </c>
      <c r="AA261" s="5">
        <v>0.4</v>
      </c>
      <c r="AB261" s="5">
        <v>0.8</v>
      </c>
      <c r="AC261" s="5">
        <v>1.2</v>
      </c>
      <c r="AD261" s="5">
        <v>6.8</v>
      </c>
    </row>
    <row r="262" spans="1:30" x14ac:dyDescent="0.25">
      <c r="A262" s="5">
        <v>2600</v>
      </c>
      <c r="B262" s="5" t="s">
        <v>322</v>
      </c>
      <c r="C262" s="5">
        <v>30</v>
      </c>
      <c r="D262" s="5" t="s">
        <v>55</v>
      </c>
      <c r="E262" s="5" t="s">
        <v>32</v>
      </c>
      <c r="F262" s="5">
        <v>29</v>
      </c>
      <c r="G262" s="5">
        <v>1</v>
      </c>
      <c r="H262" s="5">
        <v>15.6</v>
      </c>
      <c r="I262" s="5">
        <v>2.5</v>
      </c>
      <c r="J262" s="5">
        <v>5.9</v>
      </c>
      <c r="K262" s="6">
        <f>IFERROR(database_24_25!$I262/database_24_25!$J262,0)</f>
        <v>0.42372881355932202</v>
      </c>
      <c r="L262" s="5">
        <v>1.4</v>
      </c>
      <c r="M262" s="5">
        <v>3.6</v>
      </c>
      <c r="N262" s="6">
        <f>IFERROR(database_24_25!$L262/database_24_25!$M262,0)</f>
        <v>0.38888888888888884</v>
      </c>
      <c r="O262" s="5">
        <v>1.1000000000000001</v>
      </c>
      <c r="P262" s="5">
        <f>database_24_25!$Q262/10</f>
        <v>2.2999999999999998</v>
      </c>
      <c r="Q262" s="5">
        <v>23</v>
      </c>
      <c r="R262" s="6">
        <f>IFERROR(database_24_25!$O262/database_24_25!$P262,0)</f>
        <v>0.47826086956521746</v>
      </c>
      <c r="S262" s="5">
        <v>0.4</v>
      </c>
      <c r="T262" s="5">
        <v>0.6</v>
      </c>
      <c r="U262" s="6">
        <f>IFERROR(database_24_25!$S262/database_24_25!$T262,0)</f>
        <v>0.66666666666666674</v>
      </c>
      <c r="V262" s="5">
        <v>0.3</v>
      </c>
      <c r="W262" s="5">
        <v>1.3</v>
      </c>
      <c r="X262" s="5">
        <v>1.6</v>
      </c>
      <c r="Y262" s="5">
        <v>2.8</v>
      </c>
      <c r="Z262" s="5">
        <v>0.6</v>
      </c>
      <c r="AA262" s="5">
        <v>0.3</v>
      </c>
      <c r="AB262" s="5">
        <v>0.6</v>
      </c>
      <c r="AC262" s="5">
        <v>1.8</v>
      </c>
      <c r="AD262" s="5">
        <v>6.8</v>
      </c>
    </row>
    <row r="263" spans="1:30" x14ac:dyDescent="0.25">
      <c r="A263" s="7">
        <v>2610</v>
      </c>
      <c r="B263" s="7" t="s">
        <v>323</v>
      </c>
      <c r="C263" s="7">
        <v>23</v>
      </c>
      <c r="D263" s="7" t="s">
        <v>60</v>
      </c>
      <c r="E263" s="7" t="s">
        <v>35</v>
      </c>
      <c r="F263" s="7">
        <v>13</v>
      </c>
      <c r="G263" s="7">
        <v>0</v>
      </c>
      <c r="H263" s="7">
        <v>15.7</v>
      </c>
      <c r="I263" s="7">
        <v>2.5</v>
      </c>
      <c r="J263" s="7">
        <v>5.8</v>
      </c>
      <c r="K263" s="6">
        <f>IFERROR(database_24_25!$I263/database_24_25!$J263,0)</f>
        <v>0.43103448275862072</v>
      </c>
      <c r="L263" s="7">
        <v>0.2</v>
      </c>
      <c r="M263" s="7">
        <v>1.2</v>
      </c>
      <c r="N263" s="6">
        <f>IFERROR(database_24_25!$L263/database_24_25!$M263,0)</f>
        <v>0.16666666666666669</v>
      </c>
      <c r="O263" s="7">
        <v>2.4</v>
      </c>
      <c r="P263" s="5">
        <f>database_24_25!$Q263/10</f>
        <v>4.5999999999999996</v>
      </c>
      <c r="Q263" s="7">
        <v>46</v>
      </c>
      <c r="R263" s="6">
        <f>IFERROR(database_24_25!$O263/database_24_25!$P263,0)</f>
        <v>0.52173913043478259</v>
      </c>
      <c r="S263" s="7">
        <v>1.5</v>
      </c>
      <c r="T263" s="7">
        <v>1.7</v>
      </c>
      <c r="U263" s="6">
        <f>IFERROR(database_24_25!$S263/database_24_25!$T263,0)</f>
        <v>0.88235294117647056</v>
      </c>
      <c r="V263" s="7">
        <v>2.2999999999999998</v>
      </c>
      <c r="W263" s="7">
        <v>3.3</v>
      </c>
      <c r="X263" s="7">
        <v>5.6</v>
      </c>
      <c r="Y263" s="7">
        <v>1.2</v>
      </c>
      <c r="Z263" s="7">
        <v>0.9</v>
      </c>
      <c r="AA263" s="7">
        <v>0.5</v>
      </c>
      <c r="AB263" s="7">
        <v>1.2</v>
      </c>
      <c r="AC263" s="7">
        <v>1.8</v>
      </c>
      <c r="AD263" s="7">
        <v>6.8</v>
      </c>
    </row>
    <row r="264" spans="1:30" x14ac:dyDescent="0.25">
      <c r="A264" s="5">
        <v>2630</v>
      </c>
      <c r="B264" s="5" t="s">
        <v>325</v>
      </c>
      <c r="C264" s="5">
        <v>28</v>
      </c>
      <c r="D264" s="5" t="s">
        <v>77</v>
      </c>
      <c r="E264" s="5" t="s">
        <v>32</v>
      </c>
      <c r="F264" s="5">
        <v>3</v>
      </c>
      <c r="G264" s="5">
        <v>0</v>
      </c>
      <c r="H264" s="5">
        <v>17.3</v>
      </c>
      <c r="I264" s="5">
        <v>2.7</v>
      </c>
      <c r="J264" s="5">
        <v>7</v>
      </c>
      <c r="K264" s="6">
        <f>IFERROR(database_24_25!$I264/database_24_25!$J264,0)</f>
        <v>0.38571428571428573</v>
      </c>
      <c r="L264" s="5">
        <v>0.3</v>
      </c>
      <c r="M264" s="5">
        <v>1.3</v>
      </c>
      <c r="N264" s="6">
        <f>IFERROR(database_24_25!$L264/database_24_25!$M264,0)</f>
        <v>0.23076923076923075</v>
      </c>
      <c r="O264" s="5">
        <v>2.2999999999999998</v>
      </c>
      <c r="P264" s="5">
        <f>database_24_25!$Q264/10</f>
        <v>5.7</v>
      </c>
      <c r="Q264" s="5">
        <v>57</v>
      </c>
      <c r="R264" s="6">
        <f>IFERROR(database_24_25!$O264/database_24_25!$P264,0)</f>
        <v>0.40350877192982454</v>
      </c>
      <c r="S264" s="5">
        <v>1</v>
      </c>
      <c r="T264" s="5">
        <v>1.3</v>
      </c>
      <c r="U264" s="6">
        <f>IFERROR(database_24_25!$S264/database_24_25!$T264,0)</f>
        <v>0.76923076923076916</v>
      </c>
      <c r="V264" s="5">
        <v>0.7</v>
      </c>
      <c r="W264" s="5">
        <v>1.3</v>
      </c>
      <c r="X264" s="5">
        <v>2</v>
      </c>
      <c r="Y264" s="5">
        <v>1</v>
      </c>
      <c r="Z264" s="5">
        <v>0.7</v>
      </c>
      <c r="AA264" s="5">
        <v>0</v>
      </c>
      <c r="AB264" s="5">
        <v>0.3</v>
      </c>
      <c r="AC264" s="5">
        <v>1.3</v>
      </c>
      <c r="AD264" s="5">
        <v>6.7</v>
      </c>
    </row>
    <row r="265" spans="1:30" x14ac:dyDescent="0.25">
      <c r="A265" s="5">
        <v>2640</v>
      </c>
      <c r="B265" s="5" t="s">
        <v>326</v>
      </c>
      <c r="C265" s="5">
        <v>25</v>
      </c>
      <c r="D265" s="5" t="s">
        <v>47</v>
      </c>
      <c r="E265" s="5" t="s">
        <v>58</v>
      </c>
      <c r="F265" s="5">
        <v>33</v>
      </c>
      <c r="G265" s="5">
        <v>6</v>
      </c>
      <c r="H265" s="5">
        <v>20.7</v>
      </c>
      <c r="I265" s="5">
        <v>2.2000000000000002</v>
      </c>
      <c r="J265" s="5">
        <v>4.7</v>
      </c>
      <c r="K265" s="6">
        <f>IFERROR(database_24_25!$I265/database_24_25!$J265,0)</f>
        <v>0.46808510638297873</v>
      </c>
      <c r="L265" s="5">
        <v>1.4</v>
      </c>
      <c r="M265" s="5">
        <v>3.3</v>
      </c>
      <c r="N265" s="6">
        <f>IFERROR(database_24_25!$L265/database_24_25!$M265,0)</f>
        <v>0.42424242424242425</v>
      </c>
      <c r="O265" s="5">
        <v>0.8</v>
      </c>
      <c r="P265" s="5">
        <f>database_24_25!$Q265/10</f>
        <v>1.4</v>
      </c>
      <c r="Q265" s="5">
        <v>14</v>
      </c>
      <c r="R265" s="6">
        <f>IFERROR(database_24_25!$O265/database_24_25!$P265,0)</f>
        <v>0.57142857142857151</v>
      </c>
      <c r="S265" s="5">
        <v>1</v>
      </c>
      <c r="T265" s="5">
        <v>1.2</v>
      </c>
      <c r="U265" s="6">
        <f>IFERROR(database_24_25!$S265/database_24_25!$T265,0)</f>
        <v>0.83333333333333337</v>
      </c>
      <c r="V265" s="5">
        <v>0.8</v>
      </c>
      <c r="W265" s="5">
        <v>1.5</v>
      </c>
      <c r="X265" s="5">
        <v>2.2999999999999998</v>
      </c>
      <c r="Y265" s="5">
        <v>1.1000000000000001</v>
      </c>
      <c r="Z265" s="5">
        <v>1.3</v>
      </c>
      <c r="AA265" s="5">
        <v>0.8</v>
      </c>
      <c r="AB265" s="5">
        <v>0.8</v>
      </c>
      <c r="AC265" s="5">
        <v>1.8</v>
      </c>
      <c r="AD265" s="5">
        <v>6.7</v>
      </c>
    </row>
    <row r="266" spans="1:30" x14ac:dyDescent="0.25">
      <c r="A266" s="7">
        <v>2660</v>
      </c>
      <c r="B266" s="7" t="s">
        <v>328</v>
      </c>
      <c r="C266" s="7">
        <v>30</v>
      </c>
      <c r="D266" s="7" t="s">
        <v>81</v>
      </c>
      <c r="E266" s="7" t="s">
        <v>32</v>
      </c>
      <c r="F266" s="7">
        <v>7</v>
      </c>
      <c r="G266" s="7">
        <v>3</v>
      </c>
      <c r="H266" s="7">
        <v>20.6</v>
      </c>
      <c r="I266" s="7">
        <v>3.3</v>
      </c>
      <c r="J266" s="7">
        <v>6.6</v>
      </c>
      <c r="K266" s="6">
        <f>IFERROR(database_24_25!$I266/database_24_25!$J266,0)</f>
        <v>0.5</v>
      </c>
      <c r="L266" s="7">
        <v>0</v>
      </c>
      <c r="M266" s="7">
        <v>0.1</v>
      </c>
      <c r="N266" s="6">
        <f>IFERROR(database_24_25!$L266/database_24_25!$M266,0)</f>
        <v>0</v>
      </c>
      <c r="O266" s="7">
        <v>3.3</v>
      </c>
      <c r="P266" s="5">
        <f>database_24_25!$Q266/10</f>
        <v>6.4</v>
      </c>
      <c r="Q266" s="7">
        <v>64</v>
      </c>
      <c r="R266" s="6">
        <f>IFERROR(database_24_25!$O266/database_24_25!$P266,0)</f>
        <v>0.51562499999999989</v>
      </c>
      <c r="S266" s="7">
        <v>0.1</v>
      </c>
      <c r="T266" s="7">
        <v>0.3</v>
      </c>
      <c r="U266" s="6">
        <f>IFERROR(database_24_25!$S266/database_24_25!$T266,0)</f>
        <v>0.33333333333333337</v>
      </c>
      <c r="V266" s="7">
        <v>0.7</v>
      </c>
      <c r="W266" s="7">
        <v>2.7</v>
      </c>
      <c r="X266" s="7">
        <v>3.4</v>
      </c>
      <c r="Y266" s="7">
        <v>6.9</v>
      </c>
      <c r="Z266" s="7">
        <v>1.4</v>
      </c>
      <c r="AA266" s="7">
        <v>0.4</v>
      </c>
      <c r="AB266" s="7">
        <v>2.9</v>
      </c>
      <c r="AC266" s="7">
        <v>1.4</v>
      </c>
      <c r="AD266" s="7">
        <v>6.7</v>
      </c>
    </row>
    <row r="267" spans="1:30" x14ac:dyDescent="0.25">
      <c r="A267" s="7">
        <v>2650</v>
      </c>
      <c r="B267" s="7" t="s">
        <v>327</v>
      </c>
      <c r="C267" s="7">
        <v>25</v>
      </c>
      <c r="D267" s="7" t="s">
        <v>60</v>
      </c>
      <c r="E267" s="7" t="s">
        <v>58</v>
      </c>
      <c r="F267" s="7">
        <v>18</v>
      </c>
      <c r="G267" s="7">
        <v>2</v>
      </c>
      <c r="H267" s="7">
        <v>16.7</v>
      </c>
      <c r="I267" s="7">
        <v>2.4</v>
      </c>
      <c r="J267" s="7">
        <v>5.4</v>
      </c>
      <c r="K267" s="6">
        <f>IFERROR(database_24_25!$I267/database_24_25!$J267,0)</f>
        <v>0.44444444444444442</v>
      </c>
      <c r="L267" s="7">
        <v>1.4</v>
      </c>
      <c r="M267" s="7">
        <v>3.7</v>
      </c>
      <c r="N267" s="6">
        <f>IFERROR(database_24_25!$L267/database_24_25!$M267,0)</f>
        <v>0.37837837837837834</v>
      </c>
      <c r="O267" s="7">
        <v>1</v>
      </c>
      <c r="P267" s="5">
        <f>database_24_25!$Q267/10</f>
        <v>1.8</v>
      </c>
      <c r="Q267" s="7">
        <v>18</v>
      </c>
      <c r="R267" s="6">
        <f>IFERROR(database_24_25!$O267/database_24_25!$P267,0)</f>
        <v>0.55555555555555558</v>
      </c>
      <c r="S267" s="7">
        <v>0.5</v>
      </c>
      <c r="T267" s="7">
        <v>0.6</v>
      </c>
      <c r="U267" s="6">
        <f>IFERROR(database_24_25!$S267/database_24_25!$T267,0)</f>
        <v>0.83333333333333337</v>
      </c>
      <c r="V267" s="7">
        <v>0.8</v>
      </c>
      <c r="W267" s="7">
        <v>2.2999999999999998</v>
      </c>
      <c r="X267" s="7">
        <v>3.1</v>
      </c>
      <c r="Y267" s="7">
        <v>1.5</v>
      </c>
      <c r="Z267" s="7">
        <v>0.5</v>
      </c>
      <c r="AA267" s="7">
        <v>0.2</v>
      </c>
      <c r="AB267" s="7">
        <v>0.7</v>
      </c>
      <c r="AC267" s="7">
        <v>1.2</v>
      </c>
      <c r="AD267" s="7">
        <v>6.7</v>
      </c>
    </row>
    <row r="268" spans="1:30" x14ac:dyDescent="0.25">
      <c r="A268" s="7">
        <v>2680</v>
      </c>
      <c r="B268" s="7" t="s">
        <v>330</v>
      </c>
      <c r="C268" s="7">
        <v>24</v>
      </c>
      <c r="D268" s="7" t="s">
        <v>81</v>
      </c>
      <c r="E268" s="7" t="s">
        <v>27</v>
      </c>
      <c r="F268" s="7">
        <v>30</v>
      </c>
      <c r="G268" s="7">
        <v>4</v>
      </c>
      <c r="H268" s="7">
        <v>18.899999999999999</v>
      </c>
      <c r="I268" s="7">
        <v>2.5</v>
      </c>
      <c r="J268" s="7">
        <v>5.6</v>
      </c>
      <c r="K268" s="6">
        <f>IFERROR(database_24_25!$I268/database_24_25!$J268,0)</f>
        <v>0.44642857142857145</v>
      </c>
      <c r="L268" s="7">
        <v>0.8</v>
      </c>
      <c r="M268" s="7">
        <v>2.5</v>
      </c>
      <c r="N268" s="6">
        <f>IFERROR(database_24_25!$L268/database_24_25!$M268,0)</f>
        <v>0.32</v>
      </c>
      <c r="O268" s="7">
        <v>1.7</v>
      </c>
      <c r="P268" s="5">
        <f>database_24_25!$Q268/10</f>
        <v>3.1</v>
      </c>
      <c r="Q268" s="7">
        <v>31</v>
      </c>
      <c r="R268" s="6">
        <f>IFERROR(database_24_25!$O268/database_24_25!$P268,0)</f>
        <v>0.54838709677419351</v>
      </c>
      <c r="S268" s="7">
        <v>0.8</v>
      </c>
      <c r="T268" s="7">
        <v>1</v>
      </c>
      <c r="U268" s="6">
        <f>IFERROR(database_24_25!$S268/database_24_25!$T268,0)</f>
        <v>0.8</v>
      </c>
      <c r="V268" s="7">
        <v>2</v>
      </c>
      <c r="W268" s="7">
        <v>2.7</v>
      </c>
      <c r="X268" s="7">
        <v>4.7</v>
      </c>
      <c r="Y268" s="7">
        <v>1.2</v>
      </c>
      <c r="Z268" s="7">
        <v>0.8</v>
      </c>
      <c r="AA268" s="7">
        <v>0.1</v>
      </c>
      <c r="AB268" s="7">
        <v>0.8</v>
      </c>
      <c r="AC268" s="7">
        <v>1.3</v>
      </c>
      <c r="AD268" s="7">
        <v>6.6</v>
      </c>
    </row>
    <row r="269" spans="1:30" x14ac:dyDescent="0.25">
      <c r="A269" s="5">
        <v>2670</v>
      </c>
      <c r="B269" s="5" t="s">
        <v>329</v>
      </c>
      <c r="C269" s="5">
        <v>24</v>
      </c>
      <c r="D269" s="5" t="s">
        <v>79</v>
      </c>
      <c r="E269" s="5" t="s">
        <v>58</v>
      </c>
      <c r="F269" s="5">
        <v>23</v>
      </c>
      <c r="G269" s="5">
        <v>16</v>
      </c>
      <c r="H269" s="5">
        <v>21</v>
      </c>
      <c r="I269" s="5">
        <v>2.2999999999999998</v>
      </c>
      <c r="J269" s="5">
        <v>4.7</v>
      </c>
      <c r="K269" s="6">
        <f>IFERROR(database_24_25!$I269/database_24_25!$J269,0)</f>
        <v>0.4893617021276595</v>
      </c>
      <c r="L269" s="5">
        <v>1.3</v>
      </c>
      <c r="M269" s="5">
        <v>2.7</v>
      </c>
      <c r="N269" s="6">
        <f>IFERROR(database_24_25!$L269/database_24_25!$M269,0)</f>
        <v>0.48148148148148145</v>
      </c>
      <c r="O269" s="5">
        <v>1</v>
      </c>
      <c r="P269" s="5">
        <f>database_24_25!$Q269/10</f>
        <v>2</v>
      </c>
      <c r="Q269" s="5">
        <v>20</v>
      </c>
      <c r="R269" s="6">
        <f>IFERROR(database_24_25!$O269/database_24_25!$P269,0)</f>
        <v>0.5</v>
      </c>
      <c r="S269" s="5">
        <v>0.7</v>
      </c>
      <c r="T269" s="5">
        <v>0.9</v>
      </c>
      <c r="U269" s="6">
        <f>IFERROR(database_24_25!$S269/database_24_25!$T269,0)</f>
        <v>0.77777777777777768</v>
      </c>
      <c r="V269" s="5">
        <v>0.9</v>
      </c>
      <c r="W269" s="5">
        <v>1.3</v>
      </c>
      <c r="X269" s="5">
        <v>2.2999999999999998</v>
      </c>
      <c r="Y269" s="5">
        <v>1.7</v>
      </c>
      <c r="Z269" s="5">
        <v>0.7</v>
      </c>
      <c r="AA269" s="5">
        <v>0.4</v>
      </c>
      <c r="AB269" s="5">
        <v>0.4</v>
      </c>
      <c r="AC269" s="5">
        <v>2</v>
      </c>
      <c r="AD269" s="5">
        <v>6.6</v>
      </c>
    </row>
    <row r="270" spans="1:30" x14ac:dyDescent="0.25">
      <c r="A270" s="5">
        <v>2700</v>
      </c>
      <c r="B270" s="5" t="s">
        <v>332</v>
      </c>
      <c r="C270" s="5">
        <v>21</v>
      </c>
      <c r="D270" s="5" t="s">
        <v>31</v>
      </c>
      <c r="E270" s="5" t="s">
        <v>58</v>
      </c>
      <c r="F270" s="5">
        <v>33</v>
      </c>
      <c r="G270" s="5">
        <v>20</v>
      </c>
      <c r="H270" s="5">
        <v>26.7</v>
      </c>
      <c r="I270" s="5">
        <v>2.6</v>
      </c>
      <c r="J270" s="5">
        <v>6.3</v>
      </c>
      <c r="K270" s="6">
        <f>IFERROR(database_24_25!$I270/database_24_25!$J270,0)</f>
        <v>0.41269841269841273</v>
      </c>
      <c r="L270" s="5">
        <v>0.9</v>
      </c>
      <c r="M270" s="5">
        <v>3</v>
      </c>
      <c r="N270" s="6">
        <f>IFERROR(database_24_25!$L270/database_24_25!$M270,0)</f>
        <v>0.3</v>
      </c>
      <c r="O270" s="5">
        <v>1.7</v>
      </c>
      <c r="P270" s="5">
        <f>database_24_25!$Q270/10</f>
        <v>3.3</v>
      </c>
      <c r="Q270" s="5">
        <v>33</v>
      </c>
      <c r="R270" s="6">
        <f>IFERROR(database_24_25!$O270/database_24_25!$P270,0)</f>
        <v>0.51515151515151514</v>
      </c>
      <c r="S270" s="5">
        <v>0.3</v>
      </c>
      <c r="T270" s="5">
        <v>0.4</v>
      </c>
      <c r="U270" s="6">
        <f>IFERROR(database_24_25!$S270/database_24_25!$T270,0)</f>
        <v>0.74999999999999989</v>
      </c>
      <c r="V270" s="5">
        <v>1.1000000000000001</v>
      </c>
      <c r="W270" s="5">
        <v>2.2000000000000002</v>
      </c>
      <c r="X270" s="5">
        <v>3.4</v>
      </c>
      <c r="Y270" s="5">
        <v>2.4</v>
      </c>
      <c r="Z270" s="5">
        <v>1.8</v>
      </c>
      <c r="AA270" s="5">
        <v>0.7</v>
      </c>
      <c r="AB270" s="5">
        <v>0.7</v>
      </c>
      <c r="AC270" s="5">
        <v>2.1</v>
      </c>
      <c r="AD270" s="5">
        <v>6.5</v>
      </c>
    </row>
    <row r="271" spans="1:30" x14ac:dyDescent="0.25">
      <c r="A271" s="7">
        <v>2690</v>
      </c>
      <c r="B271" s="7" t="s">
        <v>331</v>
      </c>
      <c r="C271" s="7">
        <v>21</v>
      </c>
      <c r="D271" s="7" t="s">
        <v>108</v>
      </c>
      <c r="E271" s="7" t="s">
        <v>27</v>
      </c>
      <c r="F271" s="7">
        <v>35</v>
      </c>
      <c r="G271" s="7">
        <v>1</v>
      </c>
      <c r="H271" s="7">
        <v>17.7</v>
      </c>
      <c r="I271" s="7">
        <v>2.2999999999999998</v>
      </c>
      <c r="J271" s="7">
        <v>5</v>
      </c>
      <c r="K271" s="6">
        <f>IFERROR(database_24_25!$I271/database_24_25!$J271,0)</f>
        <v>0.45999999999999996</v>
      </c>
      <c r="L271" s="7">
        <v>1.1000000000000001</v>
      </c>
      <c r="M271" s="7">
        <v>2.7</v>
      </c>
      <c r="N271" s="6">
        <f>IFERROR(database_24_25!$L271/database_24_25!$M271,0)</f>
        <v>0.40740740740740744</v>
      </c>
      <c r="O271" s="7">
        <v>1.2</v>
      </c>
      <c r="P271" s="5">
        <f>database_24_25!$Q271/10</f>
        <v>2.2999999999999998</v>
      </c>
      <c r="Q271" s="7">
        <v>23</v>
      </c>
      <c r="R271" s="6">
        <f>IFERROR(database_24_25!$O271/database_24_25!$P271,0)</f>
        <v>0.52173913043478259</v>
      </c>
      <c r="S271" s="7">
        <v>0.9</v>
      </c>
      <c r="T271" s="7">
        <v>1.3</v>
      </c>
      <c r="U271" s="6">
        <f>IFERROR(database_24_25!$S271/database_24_25!$T271,0)</f>
        <v>0.69230769230769229</v>
      </c>
      <c r="V271" s="7">
        <v>0.4</v>
      </c>
      <c r="W271" s="7">
        <v>2.9</v>
      </c>
      <c r="X271" s="7">
        <v>3.3</v>
      </c>
      <c r="Y271" s="7">
        <v>1.5</v>
      </c>
      <c r="Z271" s="7">
        <v>1.1000000000000001</v>
      </c>
      <c r="AA271" s="7">
        <v>0.3</v>
      </c>
      <c r="AB271" s="7">
        <v>1.2</v>
      </c>
      <c r="AC271" s="7">
        <v>1.7</v>
      </c>
      <c r="AD271" s="7">
        <v>6.5</v>
      </c>
    </row>
    <row r="272" spans="1:30" x14ac:dyDescent="0.25">
      <c r="A272" s="5">
        <v>2760</v>
      </c>
      <c r="B272" s="5" t="s">
        <v>338</v>
      </c>
      <c r="C272" s="5">
        <v>26</v>
      </c>
      <c r="D272" s="5" t="s">
        <v>77</v>
      </c>
      <c r="E272" s="5" t="s">
        <v>32</v>
      </c>
      <c r="F272" s="5">
        <v>32</v>
      </c>
      <c r="G272" s="5">
        <v>14</v>
      </c>
      <c r="H272" s="5">
        <v>25.3</v>
      </c>
      <c r="I272" s="5">
        <v>2.4</v>
      </c>
      <c r="J272" s="5">
        <v>5.8</v>
      </c>
      <c r="K272" s="6">
        <f>IFERROR(database_24_25!$I272/database_24_25!$J272,0)</f>
        <v>0.41379310344827586</v>
      </c>
      <c r="L272" s="5">
        <v>0.9</v>
      </c>
      <c r="M272" s="5">
        <v>2.9</v>
      </c>
      <c r="N272" s="6">
        <f>IFERROR(database_24_25!$L272/database_24_25!$M272,0)</f>
        <v>0.31034482758620691</v>
      </c>
      <c r="O272" s="5">
        <v>1.4</v>
      </c>
      <c r="P272" s="5">
        <f>database_24_25!$Q272/10</f>
        <v>3</v>
      </c>
      <c r="Q272" s="5">
        <v>30</v>
      </c>
      <c r="R272" s="6">
        <f>IFERROR(database_24_25!$O272/database_24_25!$P272,0)</f>
        <v>0.46666666666666662</v>
      </c>
      <c r="S272" s="5">
        <v>0.7</v>
      </c>
      <c r="T272" s="5">
        <v>1</v>
      </c>
      <c r="U272" s="6">
        <f>IFERROR(database_24_25!$S272/database_24_25!$T272,0)</f>
        <v>0.7</v>
      </c>
      <c r="V272" s="5">
        <v>0.4</v>
      </c>
      <c r="W272" s="5">
        <v>1.7</v>
      </c>
      <c r="X272" s="5">
        <v>2.1</v>
      </c>
      <c r="Y272" s="5">
        <v>4.7</v>
      </c>
      <c r="Z272" s="5">
        <v>0.8</v>
      </c>
      <c r="AA272" s="5">
        <v>0.2</v>
      </c>
      <c r="AB272" s="5">
        <v>1.8</v>
      </c>
      <c r="AC272" s="5">
        <v>2.7</v>
      </c>
      <c r="AD272" s="5">
        <v>6.4</v>
      </c>
    </row>
    <row r="273" spans="1:30" x14ac:dyDescent="0.25">
      <c r="A273" s="7">
        <v>2740</v>
      </c>
      <c r="B273" s="7" t="s">
        <v>336</v>
      </c>
      <c r="C273" s="7">
        <v>24</v>
      </c>
      <c r="D273" s="7" t="s">
        <v>53</v>
      </c>
      <c r="E273" s="7" t="s">
        <v>27</v>
      </c>
      <c r="F273" s="7">
        <v>24</v>
      </c>
      <c r="G273" s="7">
        <v>7</v>
      </c>
      <c r="H273" s="7">
        <v>20</v>
      </c>
      <c r="I273" s="7">
        <v>2.5</v>
      </c>
      <c r="J273" s="7">
        <v>4.0999999999999996</v>
      </c>
      <c r="K273" s="6">
        <f>IFERROR(database_24_25!$I273/database_24_25!$J273,0)</f>
        <v>0.60975609756097571</v>
      </c>
      <c r="L273" s="7">
        <v>0.3</v>
      </c>
      <c r="M273" s="7">
        <v>0.9</v>
      </c>
      <c r="N273" s="6">
        <f>IFERROR(database_24_25!$L273/database_24_25!$M273,0)</f>
        <v>0.33333333333333331</v>
      </c>
      <c r="O273" s="7">
        <v>2.2000000000000002</v>
      </c>
      <c r="P273" s="5">
        <f>database_24_25!$Q273/10</f>
        <v>3.3</v>
      </c>
      <c r="Q273" s="7">
        <v>33</v>
      </c>
      <c r="R273" s="6">
        <f>IFERROR(database_24_25!$O273/database_24_25!$P273,0)</f>
        <v>0.66666666666666674</v>
      </c>
      <c r="S273" s="7">
        <v>1</v>
      </c>
      <c r="T273" s="7">
        <v>1.2</v>
      </c>
      <c r="U273" s="6">
        <f>IFERROR(database_24_25!$S273/database_24_25!$T273,0)</f>
        <v>0.83333333333333337</v>
      </c>
      <c r="V273" s="7">
        <v>0.9</v>
      </c>
      <c r="W273" s="7">
        <v>2.1</v>
      </c>
      <c r="X273" s="7">
        <v>3</v>
      </c>
      <c r="Y273" s="7">
        <v>0.8</v>
      </c>
      <c r="Z273" s="7">
        <v>0.5</v>
      </c>
      <c r="AA273" s="7">
        <v>0.7</v>
      </c>
      <c r="AB273" s="7">
        <v>0.5</v>
      </c>
      <c r="AC273" s="7">
        <v>2.6</v>
      </c>
      <c r="AD273" s="7">
        <v>6.4</v>
      </c>
    </row>
    <row r="274" spans="1:30" x14ac:dyDescent="0.25">
      <c r="A274" s="5">
        <v>2750</v>
      </c>
      <c r="B274" s="5" t="s">
        <v>337</v>
      </c>
      <c r="C274" s="5">
        <v>22</v>
      </c>
      <c r="D274" s="5" t="s">
        <v>31</v>
      </c>
      <c r="E274" s="5" t="s">
        <v>58</v>
      </c>
      <c r="F274" s="5">
        <v>34</v>
      </c>
      <c r="G274" s="5">
        <v>1</v>
      </c>
      <c r="H274" s="5">
        <v>16.5</v>
      </c>
      <c r="I274" s="5">
        <v>2.5</v>
      </c>
      <c r="J274" s="5">
        <v>4.9000000000000004</v>
      </c>
      <c r="K274" s="6">
        <f>IFERROR(database_24_25!$I274/database_24_25!$J274,0)</f>
        <v>0.51020408163265307</v>
      </c>
      <c r="L274" s="5">
        <v>0.6</v>
      </c>
      <c r="M274" s="5">
        <v>1.5</v>
      </c>
      <c r="N274" s="6">
        <f>IFERROR(database_24_25!$L274/database_24_25!$M274,0)</f>
        <v>0.39999999999999997</v>
      </c>
      <c r="O274" s="5">
        <v>1.8</v>
      </c>
      <c r="P274" s="5">
        <f>database_24_25!$Q274/10</f>
        <v>3.4</v>
      </c>
      <c r="Q274" s="5">
        <v>34</v>
      </c>
      <c r="R274" s="6">
        <f>IFERROR(database_24_25!$O274/database_24_25!$P274,0)</f>
        <v>0.52941176470588236</v>
      </c>
      <c r="S274" s="5">
        <v>0.8</v>
      </c>
      <c r="T274" s="5">
        <v>1</v>
      </c>
      <c r="U274" s="6">
        <f>IFERROR(database_24_25!$S274/database_24_25!$T274,0)</f>
        <v>0.8</v>
      </c>
      <c r="V274" s="5">
        <v>0.5</v>
      </c>
      <c r="W274" s="5">
        <v>1.5</v>
      </c>
      <c r="X274" s="5">
        <v>2</v>
      </c>
      <c r="Y274" s="5">
        <v>1.7</v>
      </c>
      <c r="Z274" s="5">
        <v>0.7</v>
      </c>
      <c r="AA274" s="5">
        <v>0.1</v>
      </c>
      <c r="AB274" s="5">
        <v>0.8</v>
      </c>
      <c r="AC274" s="5">
        <v>1.7</v>
      </c>
      <c r="AD274" s="5">
        <v>6.4</v>
      </c>
    </row>
    <row r="275" spans="1:30" x14ac:dyDescent="0.25">
      <c r="A275" s="7">
        <v>2710</v>
      </c>
      <c r="B275" s="7" t="s">
        <v>333</v>
      </c>
      <c r="C275" s="7">
        <v>33</v>
      </c>
      <c r="D275" s="7" t="s">
        <v>70</v>
      </c>
      <c r="E275" s="7" t="s">
        <v>58</v>
      </c>
      <c r="F275" s="7">
        <v>18</v>
      </c>
      <c r="G275" s="7">
        <v>0</v>
      </c>
      <c r="H275" s="7">
        <v>16.8</v>
      </c>
      <c r="I275" s="7">
        <v>1.9</v>
      </c>
      <c r="J275" s="7">
        <v>4.3</v>
      </c>
      <c r="K275" s="6">
        <f>IFERROR(database_24_25!$I275/database_24_25!$J275,0)</f>
        <v>0.44186046511627908</v>
      </c>
      <c r="L275" s="7">
        <v>1.4</v>
      </c>
      <c r="M275" s="7">
        <v>3.1</v>
      </c>
      <c r="N275" s="6">
        <f>IFERROR(database_24_25!$L275/database_24_25!$M275,0)</f>
        <v>0.45161290322580638</v>
      </c>
      <c r="O275" s="7">
        <v>0.5</v>
      </c>
      <c r="P275" s="5">
        <f>database_24_25!$Q275/10</f>
        <v>1.3</v>
      </c>
      <c r="Q275" s="7">
        <v>13</v>
      </c>
      <c r="R275" s="6">
        <f>IFERROR(database_24_25!$O275/database_24_25!$P275,0)</f>
        <v>0.38461538461538458</v>
      </c>
      <c r="S275" s="7">
        <v>1.1000000000000001</v>
      </c>
      <c r="T275" s="7">
        <v>1.3</v>
      </c>
      <c r="U275" s="6">
        <f>IFERROR(database_24_25!$S275/database_24_25!$T275,0)</f>
        <v>0.84615384615384615</v>
      </c>
      <c r="V275" s="7">
        <v>0.3</v>
      </c>
      <c r="W275" s="7">
        <v>1.7</v>
      </c>
      <c r="X275" s="7">
        <v>2</v>
      </c>
      <c r="Y275" s="7">
        <v>1.1000000000000001</v>
      </c>
      <c r="Z275" s="7">
        <v>0.6</v>
      </c>
      <c r="AA275" s="7">
        <v>0.2</v>
      </c>
      <c r="AB275" s="7">
        <v>0.3</v>
      </c>
      <c r="AC275" s="7">
        <v>0.7</v>
      </c>
      <c r="AD275" s="7">
        <v>6.4</v>
      </c>
    </row>
    <row r="276" spans="1:30" x14ac:dyDescent="0.25">
      <c r="A276" s="5">
        <v>2720</v>
      </c>
      <c r="B276" s="5" t="s">
        <v>334</v>
      </c>
      <c r="C276" s="5">
        <v>29</v>
      </c>
      <c r="D276" s="5" t="s">
        <v>73</v>
      </c>
      <c r="E276" s="5" t="s">
        <v>65</v>
      </c>
      <c r="F276" s="5">
        <v>30</v>
      </c>
      <c r="G276" s="5">
        <v>0</v>
      </c>
      <c r="H276" s="5">
        <v>17.899999999999999</v>
      </c>
      <c r="I276" s="5">
        <v>2.1</v>
      </c>
      <c r="J276" s="5">
        <v>5.0999999999999996</v>
      </c>
      <c r="K276" s="6">
        <f>IFERROR(database_24_25!$I276/database_24_25!$J276,0)</f>
        <v>0.41176470588235298</v>
      </c>
      <c r="L276" s="5">
        <v>1.2</v>
      </c>
      <c r="M276" s="5">
        <v>3.4</v>
      </c>
      <c r="N276" s="6">
        <f>IFERROR(database_24_25!$L276/database_24_25!$M276,0)</f>
        <v>0.35294117647058826</v>
      </c>
      <c r="O276" s="5">
        <v>0.9</v>
      </c>
      <c r="P276" s="5">
        <f>database_24_25!$Q276/10</f>
        <v>1.7</v>
      </c>
      <c r="Q276" s="5">
        <v>17</v>
      </c>
      <c r="R276" s="6">
        <f>IFERROR(database_24_25!$O276/database_24_25!$P276,0)</f>
        <v>0.52941176470588236</v>
      </c>
      <c r="S276" s="5">
        <v>1.1000000000000001</v>
      </c>
      <c r="T276" s="5">
        <v>1.4</v>
      </c>
      <c r="U276" s="6">
        <f>IFERROR(database_24_25!$S276/database_24_25!$T276,0)</f>
        <v>0.78571428571428581</v>
      </c>
      <c r="V276" s="5">
        <v>0.6</v>
      </c>
      <c r="W276" s="5">
        <v>2.2000000000000002</v>
      </c>
      <c r="X276" s="5">
        <v>2.8</v>
      </c>
      <c r="Y276" s="5">
        <v>0.9</v>
      </c>
      <c r="Z276" s="5">
        <v>0.3</v>
      </c>
      <c r="AA276" s="5">
        <v>0.2</v>
      </c>
      <c r="AB276" s="5">
        <v>0.8</v>
      </c>
      <c r="AC276" s="5">
        <v>1.3</v>
      </c>
      <c r="AD276" s="5">
        <v>6.4</v>
      </c>
    </row>
    <row r="277" spans="1:30" x14ac:dyDescent="0.25">
      <c r="A277" s="7">
        <v>2730</v>
      </c>
      <c r="B277" s="7" t="s">
        <v>335</v>
      </c>
      <c r="C277" s="7">
        <v>24</v>
      </c>
      <c r="D277" s="7" t="s">
        <v>90</v>
      </c>
      <c r="E277" s="7" t="s">
        <v>58</v>
      </c>
      <c r="F277" s="7">
        <v>28</v>
      </c>
      <c r="G277" s="7">
        <v>0</v>
      </c>
      <c r="H277" s="7">
        <v>12.6</v>
      </c>
      <c r="I277" s="7">
        <v>2.2999999999999998</v>
      </c>
      <c r="J277" s="7">
        <v>4.9000000000000004</v>
      </c>
      <c r="K277" s="6">
        <f>IFERROR(database_24_25!$I277/database_24_25!$J277,0)</f>
        <v>0.46938775510204073</v>
      </c>
      <c r="L277" s="7">
        <v>0.8</v>
      </c>
      <c r="M277" s="7">
        <v>2.2000000000000002</v>
      </c>
      <c r="N277" s="6">
        <f>IFERROR(database_24_25!$L277/database_24_25!$M277,0)</f>
        <v>0.36363636363636365</v>
      </c>
      <c r="O277" s="7">
        <v>1.5</v>
      </c>
      <c r="P277" s="5">
        <f>database_24_25!$Q277/10</f>
        <v>2.7</v>
      </c>
      <c r="Q277" s="7">
        <v>27</v>
      </c>
      <c r="R277" s="6">
        <f>IFERROR(database_24_25!$O277/database_24_25!$P277,0)</f>
        <v>0.55555555555555547</v>
      </c>
      <c r="S277" s="7">
        <v>0.9</v>
      </c>
      <c r="T277" s="7">
        <v>1.3</v>
      </c>
      <c r="U277" s="6">
        <f>IFERROR(database_24_25!$S277/database_24_25!$T277,0)</f>
        <v>0.69230769230769229</v>
      </c>
      <c r="V277" s="7">
        <v>0.5</v>
      </c>
      <c r="W277" s="7">
        <v>1.6</v>
      </c>
      <c r="X277" s="7">
        <v>2.1</v>
      </c>
      <c r="Y277" s="7">
        <v>1.5</v>
      </c>
      <c r="Z277" s="7">
        <v>0.4</v>
      </c>
      <c r="AA277" s="7">
        <v>0.3</v>
      </c>
      <c r="AB277" s="7">
        <v>0.6</v>
      </c>
      <c r="AC277" s="7">
        <v>1.1000000000000001</v>
      </c>
      <c r="AD277" s="7">
        <v>6.4</v>
      </c>
    </row>
    <row r="278" spans="1:30" x14ac:dyDescent="0.25">
      <c r="A278" s="5">
        <v>2780</v>
      </c>
      <c r="B278" s="5" t="s">
        <v>340</v>
      </c>
      <c r="C278" s="5">
        <v>22</v>
      </c>
      <c r="D278" s="5" t="s">
        <v>45</v>
      </c>
      <c r="E278" s="5" t="s">
        <v>65</v>
      </c>
      <c r="F278" s="5">
        <v>28</v>
      </c>
      <c r="G278" s="5">
        <v>12</v>
      </c>
      <c r="H278" s="5">
        <v>18.8</v>
      </c>
      <c r="I278" s="5">
        <v>2.5</v>
      </c>
      <c r="J278" s="5">
        <v>5.8</v>
      </c>
      <c r="K278" s="6">
        <f>IFERROR(database_24_25!$I278/database_24_25!$J278,0)</f>
        <v>0.43103448275862072</v>
      </c>
      <c r="L278" s="5">
        <v>1.1000000000000001</v>
      </c>
      <c r="M278" s="5">
        <v>3.6</v>
      </c>
      <c r="N278" s="6">
        <f>IFERROR(database_24_25!$L278/database_24_25!$M278,0)</f>
        <v>0.30555555555555558</v>
      </c>
      <c r="O278" s="5">
        <v>1.4</v>
      </c>
      <c r="P278" s="5">
        <f>database_24_25!$Q278/10</f>
        <v>2.1</v>
      </c>
      <c r="Q278" s="5">
        <v>21</v>
      </c>
      <c r="R278" s="6">
        <f>IFERROR(database_24_25!$O278/database_24_25!$P278,0)</f>
        <v>0.66666666666666663</v>
      </c>
      <c r="S278" s="5">
        <v>0.3</v>
      </c>
      <c r="T278" s="5">
        <v>0.5</v>
      </c>
      <c r="U278" s="6">
        <f>IFERROR(database_24_25!$S278/database_24_25!$T278,0)</f>
        <v>0.6</v>
      </c>
      <c r="V278" s="5">
        <v>0.8</v>
      </c>
      <c r="W278" s="5">
        <v>2.1</v>
      </c>
      <c r="X278" s="5">
        <v>2.9</v>
      </c>
      <c r="Y278" s="5">
        <v>0.9</v>
      </c>
      <c r="Z278" s="5">
        <v>0.6</v>
      </c>
      <c r="AA278" s="5">
        <v>0.7</v>
      </c>
      <c r="AB278" s="5">
        <v>0.5</v>
      </c>
      <c r="AC278" s="5">
        <v>2.2999999999999998</v>
      </c>
      <c r="AD278" s="5">
        <v>6.3</v>
      </c>
    </row>
    <row r="279" spans="1:30" x14ac:dyDescent="0.25">
      <c r="A279" s="5">
        <v>2770</v>
      </c>
      <c r="B279" s="5" t="s">
        <v>339</v>
      </c>
      <c r="C279" s="5">
        <v>24</v>
      </c>
      <c r="D279" s="5" t="s">
        <v>39</v>
      </c>
      <c r="E279" s="5" t="s">
        <v>32</v>
      </c>
      <c r="F279" s="5">
        <v>33</v>
      </c>
      <c r="G279" s="5">
        <v>0</v>
      </c>
      <c r="H279" s="5">
        <v>12.5</v>
      </c>
      <c r="I279" s="5">
        <v>2.2999999999999998</v>
      </c>
      <c r="J279" s="5">
        <v>6</v>
      </c>
      <c r="K279" s="6">
        <f>IFERROR(database_24_25!$I279/database_24_25!$J279,0)</f>
        <v>0.3833333333333333</v>
      </c>
      <c r="L279" s="5">
        <v>0.7</v>
      </c>
      <c r="M279" s="5">
        <v>2.4</v>
      </c>
      <c r="N279" s="6">
        <f>IFERROR(database_24_25!$L279/database_24_25!$M279,0)</f>
        <v>0.29166666666666669</v>
      </c>
      <c r="O279" s="5">
        <v>1.6</v>
      </c>
      <c r="P279" s="5">
        <f>database_24_25!$Q279/10</f>
        <v>3.6</v>
      </c>
      <c r="Q279" s="5">
        <v>36</v>
      </c>
      <c r="R279" s="6">
        <f>IFERROR(database_24_25!$O279/database_24_25!$P279,0)</f>
        <v>0.44444444444444448</v>
      </c>
      <c r="S279" s="5">
        <v>1.1000000000000001</v>
      </c>
      <c r="T279" s="5">
        <v>1.4</v>
      </c>
      <c r="U279" s="6">
        <f>IFERROR(database_24_25!$S279/database_24_25!$T279,0)</f>
        <v>0.78571428571428581</v>
      </c>
      <c r="V279" s="5">
        <v>0.4</v>
      </c>
      <c r="W279" s="5">
        <v>1.8</v>
      </c>
      <c r="X279" s="5">
        <v>2.2999999999999998</v>
      </c>
      <c r="Y279" s="5">
        <v>2.5</v>
      </c>
      <c r="Z279" s="5">
        <v>0.4</v>
      </c>
      <c r="AA279" s="5">
        <v>0.2</v>
      </c>
      <c r="AB279" s="5">
        <v>1.5</v>
      </c>
      <c r="AC279" s="5">
        <v>1.6</v>
      </c>
      <c r="AD279" s="5">
        <v>6.3</v>
      </c>
    </row>
    <row r="280" spans="1:30" x14ac:dyDescent="0.25">
      <c r="A280" s="5">
        <v>2820</v>
      </c>
      <c r="B280" s="5" t="s">
        <v>344</v>
      </c>
      <c r="C280" s="5">
        <v>30</v>
      </c>
      <c r="D280" s="5" t="s">
        <v>31</v>
      </c>
      <c r="E280" s="5" t="s">
        <v>27</v>
      </c>
      <c r="F280" s="5">
        <v>24</v>
      </c>
      <c r="G280" s="5">
        <v>0</v>
      </c>
      <c r="H280" s="5">
        <v>13.3</v>
      </c>
      <c r="I280" s="5">
        <v>2.4</v>
      </c>
      <c r="J280" s="5">
        <v>4.3</v>
      </c>
      <c r="K280" s="6">
        <f>IFERROR(database_24_25!$I280/database_24_25!$J280,0)</f>
        <v>0.55813953488372092</v>
      </c>
      <c r="L280" s="5">
        <v>1</v>
      </c>
      <c r="M280" s="5">
        <v>2.2000000000000002</v>
      </c>
      <c r="N280" s="6">
        <f>IFERROR(database_24_25!$L280/database_24_25!$M280,0)</f>
        <v>0.45454545454545453</v>
      </c>
      <c r="O280" s="5">
        <v>1.5</v>
      </c>
      <c r="P280" s="5">
        <f>database_24_25!$Q280/10</f>
        <v>2.2000000000000002</v>
      </c>
      <c r="Q280" s="5">
        <v>22</v>
      </c>
      <c r="R280" s="6">
        <f>IFERROR(database_24_25!$O280/database_24_25!$P280,0)</f>
        <v>0.68181818181818177</v>
      </c>
      <c r="S280" s="5">
        <v>0.5</v>
      </c>
      <c r="T280" s="5">
        <v>0.6</v>
      </c>
      <c r="U280" s="6">
        <f>IFERROR(database_24_25!$S280/database_24_25!$T280,0)</f>
        <v>0.83333333333333337</v>
      </c>
      <c r="V280" s="5">
        <v>0.9</v>
      </c>
      <c r="W280" s="5">
        <v>2.2000000000000002</v>
      </c>
      <c r="X280" s="5">
        <v>3.1</v>
      </c>
      <c r="Y280" s="5">
        <v>1</v>
      </c>
      <c r="Z280" s="5">
        <v>0.7</v>
      </c>
      <c r="AA280" s="5">
        <v>0.2</v>
      </c>
      <c r="AB280" s="5">
        <v>0.4</v>
      </c>
      <c r="AC280" s="5">
        <v>1.7</v>
      </c>
      <c r="AD280" s="5">
        <v>6.3</v>
      </c>
    </row>
    <row r="281" spans="1:30" x14ac:dyDescent="0.25">
      <c r="A281" s="7">
        <v>2810</v>
      </c>
      <c r="B281" s="7" t="s">
        <v>343</v>
      </c>
      <c r="C281" s="7">
        <v>27</v>
      </c>
      <c r="D281" s="7" t="s">
        <v>70</v>
      </c>
      <c r="E281" s="7" t="s">
        <v>58</v>
      </c>
      <c r="F281" s="7">
        <v>14</v>
      </c>
      <c r="G281" s="7">
        <v>1</v>
      </c>
      <c r="H281" s="7">
        <v>19.100000000000001</v>
      </c>
      <c r="I281" s="7">
        <v>2.2000000000000002</v>
      </c>
      <c r="J281" s="7">
        <v>4.4000000000000004</v>
      </c>
      <c r="K281" s="6">
        <f>IFERROR(database_24_25!$I281/database_24_25!$J281,0)</f>
        <v>0.5</v>
      </c>
      <c r="L281" s="7">
        <v>1.1000000000000001</v>
      </c>
      <c r="M281" s="7">
        <v>2.1</v>
      </c>
      <c r="N281" s="6">
        <f>IFERROR(database_24_25!$L281/database_24_25!$M281,0)</f>
        <v>0.52380952380952384</v>
      </c>
      <c r="O281" s="7">
        <v>1.1000000000000001</v>
      </c>
      <c r="P281" s="5">
        <f>database_24_25!$Q281/10</f>
        <v>2.2000000000000002</v>
      </c>
      <c r="Q281" s="7">
        <v>22</v>
      </c>
      <c r="R281" s="6">
        <f>IFERROR(database_24_25!$O281/database_24_25!$P281,0)</f>
        <v>0.5</v>
      </c>
      <c r="S281" s="7">
        <v>0.7</v>
      </c>
      <c r="T281" s="7">
        <v>0.9</v>
      </c>
      <c r="U281" s="6">
        <f>IFERROR(database_24_25!$S281/database_24_25!$T281,0)</f>
        <v>0.77777777777777768</v>
      </c>
      <c r="V281" s="7">
        <v>0.9</v>
      </c>
      <c r="W281" s="7">
        <v>1.7</v>
      </c>
      <c r="X281" s="7">
        <v>2.6</v>
      </c>
      <c r="Y281" s="7">
        <v>1.6</v>
      </c>
      <c r="Z281" s="7">
        <v>1.5</v>
      </c>
      <c r="AA281" s="7">
        <v>0.4</v>
      </c>
      <c r="AB281" s="7">
        <v>1.2</v>
      </c>
      <c r="AC281" s="7">
        <v>2.1</v>
      </c>
      <c r="AD281" s="7">
        <v>6.3</v>
      </c>
    </row>
    <row r="282" spans="1:30" x14ac:dyDescent="0.25">
      <c r="A282" s="7">
        <v>2800</v>
      </c>
      <c r="B282" s="7" t="s">
        <v>342</v>
      </c>
      <c r="C282" s="7">
        <v>28</v>
      </c>
      <c r="D282" s="7" t="s">
        <v>75</v>
      </c>
      <c r="E282" s="7" t="s">
        <v>58</v>
      </c>
      <c r="F282" s="7">
        <v>23</v>
      </c>
      <c r="G282" s="7">
        <v>11</v>
      </c>
      <c r="H282" s="7">
        <v>21</v>
      </c>
      <c r="I282" s="7">
        <v>2.4</v>
      </c>
      <c r="J282" s="7">
        <v>5.6</v>
      </c>
      <c r="K282" s="6">
        <f>IFERROR(database_24_25!$I282/database_24_25!$J282,0)</f>
        <v>0.4285714285714286</v>
      </c>
      <c r="L282" s="7">
        <v>0.7</v>
      </c>
      <c r="M282" s="7">
        <v>2</v>
      </c>
      <c r="N282" s="6">
        <f>IFERROR(database_24_25!$L282/database_24_25!$M282,0)</f>
        <v>0.35</v>
      </c>
      <c r="O282" s="7">
        <v>1.7</v>
      </c>
      <c r="P282" s="5">
        <f>database_24_25!$Q282/10</f>
        <v>3.5</v>
      </c>
      <c r="Q282" s="7">
        <v>35</v>
      </c>
      <c r="R282" s="6">
        <f>IFERROR(database_24_25!$O282/database_24_25!$P282,0)</f>
        <v>0.48571428571428571</v>
      </c>
      <c r="S282" s="7">
        <v>0.7</v>
      </c>
      <c r="T282" s="7">
        <v>1</v>
      </c>
      <c r="U282" s="6">
        <f>IFERROR(database_24_25!$S282/database_24_25!$T282,0)</f>
        <v>0.7</v>
      </c>
      <c r="V282" s="7">
        <v>1</v>
      </c>
      <c r="W282" s="7">
        <v>2</v>
      </c>
      <c r="X282" s="7">
        <v>3.1</v>
      </c>
      <c r="Y282" s="7">
        <v>1.7</v>
      </c>
      <c r="Z282" s="7">
        <v>1</v>
      </c>
      <c r="AA282" s="7">
        <v>0.2</v>
      </c>
      <c r="AB282" s="7">
        <v>0.6</v>
      </c>
      <c r="AC282" s="7">
        <v>2</v>
      </c>
      <c r="AD282" s="7">
        <v>6.3</v>
      </c>
    </row>
    <row r="283" spans="1:30" x14ac:dyDescent="0.25">
      <c r="A283" s="7">
        <v>2790</v>
      </c>
      <c r="B283" s="7" t="s">
        <v>341</v>
      </c>
      <c r="C283" s="7">
        <v>19</v>
      </c>
      <c r="D283" s="7" t="s">
        <v>73</v>
      </c>
      <c r="E283" s="7" t="s">
        <v>65</v>
      </c>
      <c r="F283" s="7">
        <v>34</v>
      </c>
      <c r="G283" s="7">
        <v>1</v>
      </c>
      <c r="H283" s="7">
        <v>15.5</v>
      </c>
      <c r="I283" s="7">
        <v>2.5</v>
      </c>
      <c r="J283" s="7">
        <v>5.3</v>
      </c>
      <c r="K283" s="6">
        <f>IFERROR(database_24_25!$I283/database_24_25!$J283,0)</f>
        <v>0.47169811320754718</v>
      </c>
      <c r="L283" s="7">
        <v>0.4</v>
      </c>
      <c r="M283" s="7">
        <v>1.9</v>
      </c>
      <c r="N283" s="6">
        <f>IFERROR(database_24_25!$L283/database_24_25!$M283,0)</f>
        <v>0.2105263157894737</v>
      </c>
      <c r="O283" s="7">
        <v>2.1</v>
      </c>
      <c r="P283" s="5">
        <f>database_24_25!$Q283/10</f>
        <v>3.4</v>
      </c>
      <c r="Q283" s="7">
        <v>34</v>
      </c>
      <c r="R283" s="6">
        <f>IFERROR(database_24_25!$O283/database_24_25!$P283,0)</f>
        <v>0.61764705882352944</v>
      </c>
      <c r="S283" s="7">
        <v>0.8</v>
      </c>
      <c r="T283" s="7">
        <v>1.1000000000000001</v>
      </c>
      <c r="U283" s="6">
        <f>IFERROR(database_24_25!$S283/database_24_25!$T283,0)</f>
        <v>0.72727272727272729</v>
      </c>
      <c r="V283" s="7">
        <v>0.5</v>
      </c>
      <c r="W283" s="7">
        <v>2.4</v>
      </c>
      <c r="X283" s="7">
        <v>2.9</v>
      </c>
      <c r="Y283" s="7">
        <v>0.7</v>
      </c>
      <c r="Z283" s="7">
        <v>0.4</v>
      </c>
      <c r="AA283" s="7">
        <v>0.1</v>
      </c>
      <c r="AB283" s="7">
        <v>0.9</v>
      </c>
      <c r="AC283" s="7">
        <v>1.6</v>
      </c>
      <c r="AD283" s="7">
        <v>6.3</v>
      </c>
    </row>
    <row r="284" spans="1:30" x14ac:dyDescent="0.25">
      <c r="A284" s="5">
        <v>2830</v>
      </c>
      <c r="B284" s="5" t="s">
        <v>345</v>
      </c>
      <c r="C284" s="5">
        <v>28</v>
      </c>
      <c r="D284" s="5" t="s">
        <v>79</v>
      </c>
      <c r="E284" s="5" t="s">
        <v>27</v>
      </c>
      <c r="F284" s="5">
        <v>25</v>
      </c>
      <c r="G284" s="5">
        <v>16</v>
      </c>
      <c r="H284" s="5">
        <v>22.6</v>
      </c>
      <c r="I284" s="5">
        <v>2.1</v>
      </c>
      <c r="J284" s="5">
        <v>5</v>
      </c>
      <c r="K284" s="6">
        <f>IFERROR(database_24_25!$I284/database_24_25!$J284,0)</f>
        <v>0.42000000000000004</v>
      </c>
      <c r="L284" s="5">
        <v>1.5</v>
      </c>
      <c r="M284" s="5">
        <v>4.2</v>
      </c>
      <c r="N284" s="6">
        <f>IFERROR(database_24_25!$L284/database_24_25!$M284,0)</f>
        <v>0.35714285714285715</v>
      </c>
      <c r="O284" s="5">
        <v>0.6</v>
      </c>
      <c r="P284" s="5">
        <f>database_24_25!$Q284/10</f>
        <v>0.8</v>
      </c>
      <c r="Q284" s="5">
        <v>8</v>
      </c>
      <c r="R284" s="6">
        <f>IFERROR(database_24_25!$O284/database_24_25!$P284,0)</f>
        <v>0.74999999999999989</v>
      </c>
      <c r="S284" s="5">
        <v>0.5</v>
      </c>
      <c r="T284" s="5">
        <v>1</v>
      </c>
      <c r="U284" s="6">
        <f>IFERROR(database_24_25!$S284/database_24_25!$T284,0)</f>
        <v>0.5</v>
      </c>
      <c r="V284" s="5">
        <v>0.9</v>
      </c>
      <c r="W284" s="5">
        <v>4.2</v>
      </c>
      <c r="X284" s="5">
        <v>5.2</v>
      </c>
      <c r="Y284" s="5">
        <v>1.5</v>
      </c>
      <c r="Z284" s="5">
        <v>1</v>
      </c>
      <c r="AA284" s="5">
        <v>0.6</v>
      </c>
      <c r="AB284" s="5">
        <v>0.2</v>
      </c>
      <c r="AC284" s="5">
        <v>1.7</v>
      </c>
      <c r="AD284" s="5">
        <v>6.2</v>
      </c>
    </row>
    <row r="285" spans="1:30" x14ac:dyDescent="0.25">
      <c r="A285" s="7">
        <v>2840</v>
      </c>
      <c r="B285" s="7" t="s">
        <v>346</v>
      </c>
      <c r="C285" s="7">
        <v>24</v>
      </c>
      <c r="D285" s="7" t="s">
        <v>37</v>
      </c>
      <c r="E285" s="7" t="s">
        <v>58</v>
      </c>
      <c r="F285" s="7">
        <v>10</v>
      </c>
      <c r="G285" s="7">
        <v>0</v>
      </c>
      <c r="H285" s="7">
        <v>14.3</v>
      </c>
      <c r="I285" s="7">
        <v>2</v>
      </c>
      <c r="J285" s="7">
        <v>5.6</v>
      </c>
      <c r="K285" s="6">
        <f>IFERROR(database_24_25!$I285/database_24_25!$J285,0)</f>
        <v>0.35714285714285715</v>
      </c>
      <c r="L285" s="7">
        <v>0.4</v>
      </c>
      <c r="M285" s="7">
        <v>1.7</v>
      </c>
      <c r="N285" s="6">
        <f>IFERROR(database_24_25!$L285/database_24_25!$M285,0)</f>
        <v>0.23529411764705885</v>
      </c>
      <c r="O285" s="7">
        <v>1.6</v>
      </c>
      <c r="P285" s="5">
        <f>database_24_25!$Q285/10</f>
        <v>3.9</v>
      </c>
      <c r="Q285" s="7">
        <v>39</v>
      </c>
      <c r="R285" s="6">
        <f>IFERROR(database_24_25!$O285/database_24_25!$P285,0)</f>
        <v>0.4102564102564103</v>
      </c>
      <c r="S285" s="7">
        <v>1.7</v>
      </c>
      <c r="T285" s="7">
        <v>2.6</v>
      </c>
      <c r="U285" s="6">
        <f>IFERROR(database_24_25!$S285/database_24_25!$T285,0)</f>
        <v>0.65384615384615385</v>
      </c>
      <c r="V285" s="7">
        <v>1.2</v>
      </c>
      <c r="W285" s="7">
        <v>1</v>
      </c>
      <c r="X285" s="7">
        <v>2.2000000000000002</v>
      </c>
      <c r="Y285" s="7">
        <v>1.8</v>
      </c>
      <c r="Z285" s="7">
        <v>0.6</v>
      </c>
      <c r="AA285" s="7">
        <v>0</v>
      </c>
      <c r="AB285" s="7">
        <v>1</v>
      </c>
      <c r="AC285" s="7">
        <v>1.1000000000000001</v>
      </c>
      <c r="AD285" s="7">
        <v>6.1</v>
      </c>
    </row>
    <row r="286" spans="1:30" x14ac:dyDescent="0.25">
      <c r="A286" s="7">
        <v>2850</v>
      </c>
      <c r="B286" s="7" t="s">
        <v>347</v>
      </c>
      <c r="C286" s="7">
        <v>23</v>
      </c>
      <c r="D286" s="7" t="s">
        <v>77</v>
      </c>
      <c r="E286" s="7" t="s">
        <v>65</v>
      </c>
      <c r="F286" s="7">
        <v>31</v>
      </c>
      <c r="G286" s="7">
        <v>0</v>
      </c>
      <c r="H286" s="7">
        <v>13.5</v>
      </c>
      <c r="I286" s="7">
        <v>2.1</v>
      </c>
      <c r="J286" s="7">
        <v>4.5</v>
      </c>
      <c r="K286" s="6">
        <f>IFERROR(database_24_25!$I286/database_24_25!$J286,0)</f>
        <v>0.46666666666666667</v>
      </c>
      <c r="L286" s="7">
        <v>1.4</v>
      </c>
      <c r="M286" s="7">
        <v>3.3</v>
      </c>
      <c r="N286" s="6">
        <f>IFERROR(database_24_25!$L286/database_24_25!$M286,0)</f>
        <v>0.42424242424242425</v>
      </c>
      <c r="O286" s="7">
        <v>0.7</v>
      </c>
      <c r="P286" s="5">
        <f>database_24_25!$Q286/10</f>
        <v>1.2</v>
      </c>
      <c r="Q286" s="7">
        <v>12</v>
      </c>
      <c r="R286" s="6">
        <f>IFERROR(database_24_25!$O286/database_24_25!$P286,0)</f>
        <v>0.58333333333333337</v>
      </c>
      <c r="S286" s="7">
        <v>0.4</v>
      </c>
      <c r="T286" s="7">
        <v>0.5</v>
      </c>
      <c r="U286" s="6">
        <f>IFERROR(database_24_25!$S286/database_24_25!$T286,0)</f>
        <v>0.8</v>
      </c>
      <c r="V286" s="7">
        <v>0.6</v>
      </c>
      <c r="W286" s="7">
        <v>1.3</v>
      </c>
      <c r="X286" s="7">
        <v>1.9</v>
      </c>
      <c r="Y286" s="7">
        <v>1</v>
      </c>
      <c r="Z286" s="7">
        <v>0.1</v>
      </c>
      <c r="AA286" s="7">
        <v>0.1</v>
      </c>
      <c r="AB286" s="7">
        <v>0.4</v>
      </c>
      <c r="AC286" s="7">
        <v>1.2</v>
      </c>
      <c r="AD286" s="7">
        <v>6</v>
      </c>
    </row>
    <row r="287" spans="1:30" x14ac:dyDescent="0.25">
      <c r="A287" s="7">
        <v>2860</v>
      </c>
      <c r="B287" s="7" t="s">
        <v>348</v>
      </c>
      <c r="C287" s="7">
        <v>26</v>
      </c>
      <c r="D287" s="7" t="s">
        <v>108</v>
      </c>
      <c r="E287" s="7" t="s">
        <v>32</v>
      </c>
      <c r="F287" s="7">
        <v>17</v>
      </c>
      <c r="G287" s="7">
        <v>7</v>
      </c>
      <c r="H287" s="7">
        <v>14.8</v>
      </c>
      <c r="I287" s="7">
        <v>2.2999999999999998</v>
      </c>
      <c r="J287" s="7">
        <v>4.5</v>
      </c>
      <c r="K287" s="6">
        <f>IFERROR(database_24_25!$I287/database_24_25!$J287,0)</f>
        <v>0.51111111111111107</v>
      </c>
      <c r="L287" s="7">
        <v>0.5</v>
      </c>
      <c r="M287" s="7">
        <v>1.4</v>
      </c>
      <c r="N287" s="6">
        <f>IFERROR(database_24_25!$L287/database_24_25!$M287,0)</f>
        <v>0.35714285714285715</v>
      </c>
      <c r="O287" s="7">
        <v>1.8</v>
      </c>
      <c r="P287" s="5">
        <f>database_24_25!$Q287/10</f>
        <v>3.1</v>
      </c>
      <c r="Q287" s="7">
        <v>31</v>
      </c>
      <c r="R287" s="6">
        <f>IFERROR(database_24_25!$O287/database_24_25!$P287,0)</f>
        <v>0.58064516129032262</v>
      </c>
      <c r="S287" s="7">
        <v>0.9</v>
      </c>
      <c r="T287" s="7">
        <v>1.2</v>
      </c>
      <c r="U287" s="6">
        <f>IFERROR(database_24_25!$S287/database_24_25!$T287,0)</f>
        <v>0.75</v>
      </c>
      <c r="V287" s="7">
        <v>0.6</v>
      </c>
      <c r="W287" s="7">
        <v>1</v>
      </c>
      <c r="X287" s="7">
        <v>1.6</v>
      </c>
      <c r="Y287" s="7">
        <v>1.8</v>
      </c>
      <c r="Z287" s="7">
        <v>0.5</v>
      </c>
      <c r="AA287" s="7">
        <v>0.3</v>
      </c>
      <c r="AB287" s="7">
        <v>0.6</v>
      </c>
      <c r="AC287" s="7">
        <v>1.9</v>
      </c>
      <c r="AD287" s="7">
        <v>6</v>
      </c>
    </row>
    <row r="288" spans="1:30" x14ac:dyDescent="0.25">
      <c r="A288" s="5">
        <v>2880</v>
      </c>
      <c r="B288" s="5" t="s">
        <v>350</v>
      </c>
      <c r="C288" s="5">
        <v>23</v>
      </c>
      <c r="D288" s="5" t="s">
        <v>108</v>
      </c>
      <c r="E288" s="5" t="s">
        <v>35</v>
      </c>
      <c r="F288" s="5">
        <v>1</v>
      </c>
      <c r="G288" s="5">
        <v>0</v>
      </c>
      <c r="H288" s="5">
        <v>5</v>
      </c>
      <c r="I288" s="5">
        <v>2</v>
      </c>
      <c r="J288" s="5">
        <v>4</v>
      </c>
      <c r="K288" s="6">
        <f>IFERROR(database_24_25!$I288/database_24_25!$J288,0)</f>
        <v>0.5</v>
      </c>
      <c r="L288" s="5">
        <v>0</v>
      </c>
      <c r="M288" s="5">
        <v>1</v>
      </c>
      <c r="N288" s="6">
        <f>IFERROR(database_24_25!$L288/database_24_25!$M288,0)</f>
        <v>0</v>
      </c>
      <c r="O288" s="5">
        <v>2</v>
      </c>
      <c r="P288" s="5">
        <f>database_24_25!$Q288/10</f>
        <v>3</v>
      </c>
      <c r="Q288" s="5">
        <v>30</v>
      </c>
      <c r="R288" s="6">
        <f>IFERROR(database_24_25!$O288/database_24_25!$P288,0)</f>
        <v>0.66666666666666663</v>
      </c>
      <c r="S288" s="5">
        <v>2</v>
      </c>
      <c r="T288" s="5">
        <v>2</v>
      </c>
      <c r="U288" s="6">
        <f>IFERROR(database_24_25!$S288/database_24_25!$T288,0)</f>
        <v>1</v>
      </c>
      <c r="V288" s="5">
        <v>0</v>
      </c>
      <c r="W288" s="5">
        <v>1</v>
      </c>
      <c r="X288" s="5">
        <v>1</v>
      </c>
      <c r="Y288" s="5">
        <v>0</v>
      </c>
      <c r="Z288" s="5">
        <v>0</v>
      </c>
      <c r="AA288" s="5">
        <v>0</v>
      </c>
      <c r="AB288" s="5">
        <v>0</v>
      </c>
      <c r="AC288" s="5">
        <v>0</v>
      </c>
      <c r="AD288" s="5">
        <v>6</v>
      </c>
    </row>
    <row r="289" spans="1:30" x14ac:dyDescent="0.25">
      <c r="A289" s="5">
        <v>2870</v>
      </c>
      <c r="B289" s="5" t="s">
        <v>349</v>
      </c>
      <c r="C289" s="5">
        <v>28</v>
      </c>
      <c r="D289" s="5" t="s">
        <v>79</v>
      </c>
      <c r="E289" s="5" t="s">
        <v>65</v>
      </c>
      <c r="F289" s="5">
        <v>6</v>
      </c>
      <c r="G289" s="5">
        <v>0</v>
      </c>
      <c r="H289" s="5">
        <v>22.3</v>
      </c>
      <c r="I289" s="5">
        <v>2.2000000000000002</v>
      </c>
      <c r="J289" s="5">
        <v>6.2</v>
      </c>
      <c r="K289" s="6">
        <f>IFERROR(database_24_25!$I289/database_24_25!$J289,0)</f>
        <v>0.35483870967741937</v>
      </c>
      <c r="L289" s="5">
        <v>1.5</v>
      </c>
      <c r="M289" s="5">
        <v>5.2</v>
      </c>
      <c r="N289" s="6">
        <f>IFERROR(database_24_25!$L289/database_24_25!$M289,0)</f>
        <v>0.28846153846153844</v>
      </c>
      <c r="O289" s="5">
        <v>0.7</v>
      </c>
      <c r="P289" s="5">
        <f>database_24_25!$Q289/10</f>
        <v>1</v>
      </c>
      <c r="Q289" s="5">
        <v>10</v>
      </c>
      <c r="R289" s="6">
        <f>IFERROR(database_24_25!$O289/database_24_25!$P289,0)</f>
        <v>0.7</v>
      </c>
      <c r="S289" s="5">
        <v>0.2</v>
      </c>
      <c r="T289" s="5">
        <v>0.2</v>
      </c>
      <c r="U289" s="6">
        <f>IFERROR(database_24_25!$S289/database_24_25!$T289,0)</f>
        <v>1</v>
      </c>
      <c r="V289" s="5">
        <v>1.2</v>
      </c>
      <c r="W289" s="5">
        <v>2.8</v>
      </c>
      <c r="X289" s="5">
        <v>4</v>
      </c>
      <c r="Y289" s="5">
        <v>2.8</v>
      </c>
      <c r="Z289" s="5">
        <v>0.3</v>
      </c>
      <c r="AA289" s="5">
        <v>0.3</v>
      </c>
      <c r="AB289" s="5">
        <v>0.7</v>
      </c>
      <c r="AC289" s="5">
        <v>2.5</v>
      </c>
      <c r="AD289" s="5">
        <v>6</v>
      </c>
    </row>
    <row r="290" spans="1:30" x14ac:dyDescent="0.25">
      <c r="A290" s="5">
        <v>2890</v>
      </c>
      <c r="B290" s="5" t="s">
        <v>351</v>
      </c>
      <c r="C290" s="5">
        <v>21</v>
      </c>
      <c r="D290" s="5" t="s">
        <v>114</v>
      </c>
      <c r="E290" s="5" t="s">
        <v>35</v>
      </c>
      <c r="F290" s="5">
        <v>22</v>
      </c>
      <c r="G290" s="5">
        <v>8</v>
      </c>
      <c r="H290" s="5">
        <v>16.5</v>
      </c>
      <c r="I290" s="5">
        <v>2.2000000000000002</v>
      </c>
      <c r="J290" s="5">
        <v>4.4000000000000004</v>
      </c>
      <c r="K290" s="6">
        <f>IFERROR(database_24_25!$I290/database_24_25!$J290,0)</f>
        <v>0.5</v>
      </c>
      <c r="L290" s="5">
        <v>0.5</v>
      </c>
      <c r="M290" s="5">
        <v>1.6</v>
      </c>
      <c r="N290" s="6">
        <f>IFERROR(database_24_25!$L290/database_24_25!$M290,0)</f>
        <v>0.3125</v>
      </c>
      <c r="O290" s="5">
        <v>1.6</v>
      </c>
      <c r="P290" s="5">
        <f>database_24_25!$Q290/10</f>
        <v>2.8</v>
      </c>
      <c r="Q290" s="5">
        <v>28</v>
      </c>
      <c r="R290" s="6">
        <f>IFERROR(database_24_25!$O290/database_24_25!$P290,0)</f>
        <v>0.57142857142857151</v>
      </c>
      <c r="S290" s="5">
        <v>1</v>
      </c>
      <c r="T290" s="5">
        <v>1.7</v>
      </c>
      <c r="U290" s="6">
        <f>IFERROR(database_24_25!$S290/database_24_25!$T290,0)</f>
        <v>0.58823529411764708</v>
      </c>
      <c r="V290" s="5">
        <v>1</v>
      </c>
      <c r="W290" s="5">
        <v>3.3</v>
      </c>
      <c r="X290" s="5">
        <v>4.3</v>
      </c>
      <c r="Y290" s="5">
        <v>1.8</v>
      </c>
      <c r="Z290" s="5">
        <v>0.5</v>
      </c>
      <c r="AA290" s="5">
        <v>0.1</v>
      </c>
      <c r="AB290" s="5">
        <v>1</v>
      </c>
      <c r="AC290" s="5">
        <v>1.9</v>
      </c>
      <c r="AD290" s="5">
        <v>5.9</v>
      </c>
    </row>
    <row r="291" spans="1:30" x14ac:dyDescent="0.25">
      <c r="A291" s="5">
        <v>2900</v>
      </c>
      <c r="B291" s="5" t="s">
        <v>352</v>
      </c>
      <c r="C291" s="5">
        <v>31</v>
      </c>
      <c r="D291" s="5" t="s">
        <v>81</v>
      </c>
      <c r="E291" s="5" t="s">
        <v>58</v>
      </c>
      <c r="F291" s="5">
        <v>32</v>
      </c>
      <c r="G291" s="5">
        <v>12</v>
      </c>
      <c r="H291" s="5">
        <v>20.9</v>
      </c>
      <c r="I291" s="5">
        <v>2.1</v>
      </c>
      <c r="J291" s="5">
        <v>4.5999999999999996</v>
      </c>
      <c r="K291" s="6">
        <f>IFERROR(database_24_25!$I291/database_24_25!$J291,0)</f>
        <v>0.45652173913043481</v>
      </c>
      <c r="L291" s="5">
        <v>0.7</v>
      </c>
      <c r="M291" s="5">
        <v>1.9</v>
      </c>
      <c r="N291" s="6">
        <f>IFERROR(database_24_25!$L291/database_24_25!$M291,0)</f>
        <v>0.36842105263157893</v>
      </c>
      <c r="O291" s="5">
        <v>1.4</v>
      </c>
      <c r="P291" s="5">
        <f>database_24_25!$Q291/10</f>
        <v>2.7</v>
      </c>
      <c r="Q291" s="5">
        <v>27</v>
      </c>
      <c r="R291" s="6">
        <f>IFERROR(database_24_25!$O291/database_24_25!$P291,0)</f>
        <v>0.51851851851851849</v>
      </c>
      <c r="S291" s="5">
        <v>1</v>
      </c>
      <c r="T291" s="5">
        <v>1.3</v>
      </c>
      <c r="U291" s="6">
        <f>IFERROR(database_24_25!$S291/database_24_25!$T291,0)</f>
        <v>0.76923076923076916</v>
      </c>
      <c r="V291" s="5">
        <v>0.9</v>
      </c>
      <c r="W291" s="5">
        <v>2.2000000000000002</v>
      </c>
      <c r="X291" s="5">
        <v>3.1</v>
      </c>
      <c r="Y291" s="5">
        <v>0.7</v>
      </c>
      <c r="Z291" s="5">
        <v>1</v>
      </c>
      <c r="AA291" s="5">
        <v>0.6</v>
      </c>
      <c r="AB291" s="5">
        <v>0.7</v>
      </c>
      <c r="AC291" s="5">
        <v>1.4</v>
      </c>
      <c r="AD291" s="5">
        <v>5.9</v>
      </c>
    </row>
    <row r="292" spans="1:30" x14ac:dyDescent="0.25">
      <c r="A292" s="7">
        <v>2920</v>
      </c>
      <c r="B292" s="7" t="s">
        <v>354</v>
      </c>
      <c r="C292" s="7">
        <v>36</v>
      </c>
      <c r="D292" s="7" t="s">
        <v>70</v>
      </c>
      <c r="E292" s="7" t="s">
        <v>27</v>
      </c>
      <c r="F292" s="7">
        <v>16</v>
      </c>
      <c r="G292" s="7">
        <v>5</v>
      </c>
      <c r="H292" s="7">
        <v>11.4</v>
      </c>
      <c r="I292" s="7">
        <v>2</v>
      </c>
      <c r="J292" s="7">
        <v>5.7</v>
      </c>
      <c r="K292" s="6">
        <f>IFERROR(database_24_25!$I292/database_24_25!$J292,0)</f>
        <v>0.35087719298245612</v>
      </c>
      <c r="L292" s="7">
        <v>1.1000000000000001</v>
      </c>
      <c r="M292" s="7">
        <v>3.1</v>
      </c>
      <c r="N292" s="6">
        <f>IFERROR(database_24_25!$L292/database_24_25!$M292,0)</f>
        <v>0.35483870967741937</v>
      </c>
      <c r="O292" s="7">
        <v>0.9</v>
      </c>
      <c r="P292" s="5">
        <f>database_24_25!$Q292/10</f>
        <v>2.6</v>
      </c>
      <c r="Q292" s="7">
        <v>26</v>
      </c>
      <c r="R292" s="6">
        <f>IFERROR(database_24_25!$O292/database_24_25!$P292,0)</f>
        <v>0.34615384615384615</v>
      </c>
      <c r="S292" s="7">
        <v>0.8</v>
      </c>
      <c r="T292" s="7">
        <v>1.2</v>
      </c>
      <c r="U292" s="6">
        <f>IFERROR(database_24_25!$S292/database_24_25!$T292,0)</f>
        <v>0.66666666666666674</v>
      </c>
      <c r="V292" s="7">
        <v>1.1000000000000001</v>
      </c>
      <c r="W292" s="7">
        <v>3.4</v>
      </c>
      <c r="X292" s="7">
        <v>4.5</v>
      </c>
      <c r="Y292" s="7">
        <v>1.2</v>
      </c>
      <c r="Z292" s="7">
        <v>0.8</v>
      </c>
      <c r="AA292" s="7">
        <v>0.1</v>
      </c>
      <c r="AB292" s="7">
        <v>0.8</v>
      </c>
      <c r="AC292" s="7">
        <v>0.9</v>
      </c>
      <c r="AD292" s="7">
        <v>5.9</v>
      </c>
    </row>
    <row r="293" spans="1:30" x14ac:dyDescent="0.25">
      <c r="A293" s="7">
        <v>2910</v>
      </c>
      <c r="B293" s="7" t="s">
        <v>353</v>
      </c>
      <c r="C293" s="7">
        <v>24</v>
      </c>
      <c r="D293" s="7" t="s">
        <v>51</v>
      </c>
      <c r="E293" s="7" t="s">
        <v>35</v>
      </c>
      <c r="F293" s="7">
        <v>13</v>
      </c>
      <c r="G293" s="7">
        <v>2</v>
      </c>
      <c r="H293" s="7">
        <v>16.899999999999999</v>
      </c>
      <c r="I293" s="7">
        <v>2.2000000000000002</v>
      </c>
      <c r="J293" s="7">
        <v>3.2</v>
      </c>
      <c r="K293" s="6">
        <f>IFERROR(database_24_25!$I293/database_24_25!$J293,0)</f>
        <v>0.6875</v>
      </c>
      <c r="L293" s="7">
        <v>0</v>
      </c>
      <c r="M293" s="7">
        <v>0</v>
      </c>
      <c r="N293" s="6">
        <f>IFERROR(database_24_25!$L293/database_24_25!$M293,0)</f>
        <v>0</v>
      </c>
      <c r="O293" s="7">
        <v>2.2000000000000002</v>
      </c>
      <c r="P293" s="5">
        <f>database_24_25!$Q293/10</f>
        <v>3.2</v>
      </c>
      <c r="Q293" s="7">
        <v>32</v>
      </c>
      <c r="R293" s="6">
        <f>IFERROR(database_24_25!$O293/database_24_25!$P293,0)</f>
        <v>0.6875</v>
      </c>
      <c r="S293" s="7">
        <v>1.5</v>
      </c>
      <c r="T293" s="7">
        <v>1.9</v>
      </c>
      <c r="U293" s="6">
        <f>IFERROR(database_24_25!$S293/database_24_25!$T293,0)</f>
        <v>0.78947368421052633</v>
      </c>
      <c r="V293" s="7">
        <v>1.8</v>
      </c>
      <c r="W293" s="7">
        <v>2.6</v>
      </c>
      <c r="X293" s="7">
        <v>4.4000000000000004</v>
      </c>
      <c r="Y293" s="7">
        <v>0.7</v>
      </c>
      <c r="Z293" s="7">
        <v>0.4</v>
      </c>
      <c r="AA293" s="7">
        <v>0.8</v>
      </c>
      <c r="AB293" s="7">
        <v>0.7</v>
      </c>
      <c r="AC293" s="7">
        <v>2.4</v>
      </c>
      <c r="AD293" s="7">
        <v>5.9</v>
      </c>
    </row>
    <row r="294" spans="1:30" x14ac:dyDescent="0.25">
      <c r="A294" s="5">
        <v>2930</v>
      </c>
      <c r="B294" s="5" t="s">
        <v>355</v>
      </c>
      <c r="C294" s="5">
        <v>25</v>
      </c>
      <c r="D294" s="5" t="s">
        <v>75</v>
      </c>
      <c r="E294" s="5" t="s">
        <v>65</v>
      </c>
      <c r="F294" s="5">
        <v>21</v>
      </c>
      <c r="G294" s="5">
        <v>0</v>
      </c>
      <c r="H294" s="5">
        <v>14.7</v>
      </c>
      <c r="I294" s="5">
        <v>2.2999999999999998</v>
      </c>
      <c r="J294" s="5">
        <v>5.3</v>
      </c>
      <c r="K294" s="6">
        <f>IFERROR(database_24_25!$I294/database_24_25!$J294,0)</f>
        <v>0.43396226415094336</v>
      </c>
      <c r="L294" s="5">
        <v>0.4</v>
      </c>
      <c r="M294" s="5">
        <v>1.7</v>
      </c>
      <c r="N294" s="6">
        <f>IFERROR(database_24_25!$L294/database_24_25!$M294,0)</f>
        <v>0.23529411764705885</v>
      </c>
      <c r="O294" s="5">
        <v>1.9</v>
      </c>
      <c r="P294" s="5">
        <f>database_24_25!$Q294/10</f>
        <v>3.6</v>
      </c>
      <c r="Q294" s="5">
        <v>36</v>
      </c>
      <c r="R294" s="6">
        <f>IFERROR(database_24_25!$O294/database_24_25!$P294,0)</f>
        <v>0.52777777777777779</v>
      </c>
      <c r="S294" s="5">
        <v>1</v>
      </c>
      <c r="T294" s="5">
        <v>1.2</v>
      </c>
      <c r="U294" s="6">
        <f>IFERROR(database_24_25!$S294/database_24_25!$T294,0)</f>
        <v>0.83333333333333337</v>
      </c>
      <c r="V294" s="5">
        <v>1</v>
      </c>
      <c r="W294" s="5">
        <v>1.2</v>
      </c>
      <c r="X294" s="5">
        <v>2.1</v>
      </c>
      <c r="Y294" s="5">
        <v>1.3</v>
      </c>
      <c r="Z294" s="5">
        <v>0.5</v>
      </c>
      <c r="AA294" s="5">
        <v>0.1</v>
      </c>
      <c r="AB294" s="5">
        <v>0.9</v>
      </c>
      <c r="AC294" s="5">
        <v>1</v>
      </c>
      <c r="AD294" s="5">
        <v>5.9</v>
      </c>
    </row>
    <row r="295" spans="1:30" x14ac:dyDescent="0.25">
      <c r="A295" s="7">
        <v>2950</v>
      </c>
      <c r="B295" s="7" t="s">
        <v>357</v>
      </c>
      <c r="C295" s="7">
        <v>23</v>
      </c>
      <c r="D295" s="7" t="s">
        <v>73</v>
      </c>
      <c r="E295" s="7" t="s">
        <v>35</v>
      </c>
      <c r="F295" s="7">
        <v>30</v>
      </c>
      <c r="G295" s="7">
        <v>3</v>
      </c>
      <c r="H295" s="7">
        <v>21.2</v>
      </c>
      <c r="I295" s="7">
        <v>2.2999999999999998</v>
      </c>
      <c r="J295" s="7">
        <v>4.2</v>
      </c>
      <c r="K295" s="6">
        <f>IFERROR(database_24_25!$I295/database_24_25!$J295,0)</f>
        <v>0.54761904761904756</v>
      </c>
      <c r="L295" s="7">
        <v>0.3</v>
      </c>
      <c r="M295" s="7">
        <v>0.9</v>
      </c>
      <c r="N295" s="6">
        <f>IFERROR(database_24_25!$L295/database_24_25!$M295,0)</f>
        <v>0.33333333333333331</v>
      </c>
      <c r="O295" s="7">
        <v>2</v>
      </c>
      <c r="P295" s="5">
        <f>database_24_25!$Q295/10</f>
        <v>3.3</v>
      </c>
      <c r="Q295" s="7">
        <v>33</v>
      </c>
      <c r="R295" s="6">
        <f>IFERROR(database_24_25!$O295/database_24_25!$P295,0)</f>
        <v>0.60606060606060608</v>
      </c>
      <c r="S295" s="7">
        <v>1</v>
      </c>
      <c r="T295" s="7">
        <v>1.2</v>
      </c>
      <c r="U295" s="6">
        <f>IFERROR(database_24_25!$S295/database_24_25!$T295,0)</f>
        <v>0.83333333333333337</v>
      </c>
      <c r="V295" s="7">
        <v>2.1</v>
      </c>
      <c r="W295" s="7">
        <v>3.9</v>
      </c>
      <c r="X295" s="7">
        <v>6</v>
      </c>
      <c r="Y295" s="7">
        <v>1.8</v>
      </c>
      <c r="Z295" s="7">
        <v>0.5</v>
      </c>
      <c r="AA295" s="7">
        <v>1.2</v>
      </c>
      <c r="AB295" s="7">
        <v>1</v>
      </c>
      <c r="AC295" s="7">
        <v>2.7</v>
      </c>
      <c r="AD295" s="7">
        <v>5.9</v>
      </c>
    </row>
    <row r="296" spans="1:30" x14ac:dyDescent="0.25">
      <c r="A296" s="5">
        <v>2940</v>
      </c>
      <c r="B296" s="5" t="s">
        <v>356</v>
      </c>
      <c r="C296" s="5">
        <v>28</v>
      </c>
      <c r="D296" s="5" t="s">
        <v>60</v>
      </c>
      <c r="E296" s="5" t="s">
        <v>32</v>
      </c>
      <c r="F296" s="5">
        <v>26</v>
      </c>
      <c r="G296" s="5">
        <v>20</v>
      </c>
      <c r="H296" s="5">
        <v>25.1</v>
      </c>
      <c r="I296" s="5">
        <v>2.7</v>
      </c>
      <c r="J296" s="5">
        <v>4.9000000000000004</v>
      </c>
      <c r="K296" s="6">
        <f>IFERROR(database_24_25!$I296/database_24_25!$J296,0)</f>
        <v>0.55102040816326525</v>
      </c>
      <c r="L296" s="5">
        <v>0</v>
      </c>
      <c r="M296" s="5">
        <v>0</v>
      </c>
      <c r="N296" s="6">
        <f>IFERROR(database_24_25!$L296/database_24_25!$M296,0)</f>
        <v>0</v>
      </c>
      <c r="O296" s="5">
        <v>2.7</v>
      </c>
      <c r="P296" s="5">
        <f>database_24_25!$Q296/10</f>
        <v>4.9000000000000004</v>
      </c>
      <c r="Q296" s="5">
        <v>49</v>
      </c>
      <c r="R296" s="6">
        <f>IFERROR(database_24_25!$O296/database_24_25!$P296,0)</f>
        <v>0.55102040816326525</v>
      </c>
      <c r="S296" s="5">
        <v>0.6</v>
      </c>
      <c r="T296" s="5">
        <v>0.8</v>
      </c>
      <c r="U296" s="6">
        <f>IFERROR(database_24_25!$S296/database_24_25!$T296,0)</f>
        <v>0.74999999999999989</v>
      </c>
      <c r="V296" s="5">
        <v>0.9</v>
      </c>
      <c r="W296" s="5">
        <v>4.3</v>
      </c>
      <c r="X296" s="5">
        <v>5.2</v>
      </c>
      <c r="Y296" s="5">
        <v>6.9</v>
      </c>
      <c r="Z296" s="5">
        <v>0.8</v>
      </c>
      <c r="AA296" s="5">
        <v>0.5</v>
      </c>
      <c r="AB296" s="5">
        <v>2.8</v>
      </c>
      <c r="AC296" s="5">
        <v>2.2999999999999998</v>
      </c>
      <c r="AD296" s="5">
        <v>5.9</v>
      </c>
    </row>
    <row r="297" spans="1:30" x14ac:dyDescent="0.25">
      <c r="A297" s="7">
        <v>2960</v>
      </c>
      <c r="B297" s="7" t="s">
        <v>358</v>
      </c>
      <c r="C297" s="7">
        <v>21</v>
      </c>
      <c r="D297" s="7" t="s">
        <v>49</v>
      </c>
      <c r="E297" s="7" t="s">
        <v>58</v>
      </c>
      <c r="F297" s="7">
        <v>22</v>
      </c>
      <c r="G297" s="7">
        <v>0</v>
      </c>
      <c r="H297" s="7">
        <v>11.9</v>
      </c>
      <c r="I297" s="7">
        <v>2.1</v>
      </c>
      <c r="J297" s="7">
        <v>4.8</v>
      </c>
      <c r="K297" s="6">
        <f>IFERROR(database_24_25!$I297/database_24_25!$J297,0)</f>
        <v>0.43750000000000006</v>
      </c>
      <c r="L297" s="7">
        <v>0.8</v>
      </c>
      <c r="M297" s="7">
        <v>2.1</v>
      </c>
      <c r="N297" s="6">
        <f>IFERROR(database_24_25!$L297/database_24_25!$M297,0)</f>
        <v>0.38095238095238093</v>
      </c>
      <c r="O297" s="7">
        <v>1.3</v>
      </c>
      <c r="P297" s="5">
        <f>database_24_25!$Q297/10</f>
        <v>2.6</v>
      </c>
      <c r="Q297" s="7">
        <v>26</v>
      </c>
      <c r="R297" s="6">
        <f>IFERROR(database_24_25!$O297/database_24_25!$P297,0)</f>
        <v>0.5</v>
      </c>
      <c r="S297" s="7">
        <v>0.8</v>
      </c>
      <c r="T297" s="7">
        <v>0.9</v>
      </c>
      <c r="U297" s="6">
        <f>IFERROR(database_24_25!$S297/database_24_25!$T297,0)</f>
        <v>0.88888888888888895</v>
      </c>
      <c r="V297" s="7">
        <v>0.1</v>
      </c>
      <c r="W297" s="7">
        <v>1.3</v>
      </c>
      <c r="X297" s="7">
        <v>1.4</v>
      </c>
      <c r="Y297" s="7">
        <v>1.2</v>
      </c>
      <c r="Z297" s="7">
        <v>0.3</v>
      </c>
      <c r="AA297" s="7">
        <v>0.1</v>
      </c>
      <c r="AB297" s="7">
        <v>1.2</v>
      </c>
      <c r="AC297" s="7">
        <v>0.7</v>
      </c>
      <c r="AD297" s="7">
        <v>5.8</v>
      </c>
    </row>
    <row r="298" spans="1:30" x14ac:dyDescent="0.25">
      <c r="A298" s="5">
        <v>2970</v>
      </c>
      <c r="B298" s="5" t="s">
        <v>359</v>
      </c>
      <c r="C298" s="5">
        <v>23</v>
      </c>
      <c r="D298" s="5" t="s">
        <v>53</v>
      </c>
      <c r="E298" s="5" t="s">
        <v>65</v>
      </c>
      <c r="F298" s="5">
        <v>25</v>
      </c>
      <c r="G298" s="5">
        <v>0</v>
      </c>
      <c r="H298" s="5">
        <v>13</v>
      </c>
      <c r="I298" s="5">
        <v>1.8</v>
      </c>
      <c r="J298" s="5">
        <v>4.2</v>
      </c>
      <c r="K298" s="6">
        <f>IFERROR(database_24_25!$I298/database_24_25!$J298,0)</f>
        <v>0.42857142857142855</v>
      </c>
      <c r="L298" s="5">
        <v>0.4</v>
      </c>
      <c r="M298" s="5">
        <v>1.6</v>
      </c>
      <c r="N298" s="6">
        <f>IFERROR(database_24_25!$L298/database_24_25!$M298,0)</f>
        <v>0.25</v>
      </c>
      <c r="O298" s="5">
        <v>1.3</v>
      </c>
      <c r="P298" s="5">
        <f>database_24_25!$Q298/10</f>
        <v>2.6</v>
      </c>
      <c r="Q298" s="5">
        <v>26</v>
      </c>
      <c r="R298" s="6">
        <f>IFERROR(database_24_25!$O298/database_24_25!$P298,0)</f>
        <v>0.5</v>
      </c>
      <c r="S298" s="5">
        <v>1.7</v>
      </c>
      <c r="T298" s="5">
        <v>2</v>
      </c>
      <c r="U298" s="6">
        <f>IFERROR(database_24_25!$S298/database_24_25!$T298,0)</f>
        <v>0.85</v>
      </c>
      <c r="V298" s="5">
        <v>0.6</v>
      </c>
      <c r="W298" s="5">
        <v>1.5</v>
      </c>
      <c r="X298" s="5">
        <v>2.1</v>
      </c>
      <c r="Y298" s="5">
        <v>0.7</v>
      </c>
      <c r="Z298" s="5">
        <v>0.3</v>
      </c>
      <c r="AA298" s="5">
        <v>0.2</v>
      </c>
      <c r="AB298" s="5">
        <v>0.4</v>
      </c>
      <c r="AC298" s="5">
        <v>0.8</v>
      </c>
      <c r="AD298" s="5">
        <v>5.7</v>
      </c>
    </row>
    <row r="299" spans="1:30" x14ac:dyDescent="0.25">
      <c r="A299" s="5">
        <v>2980</v>
      </c>
      <c r="B299" s="5" t="s">
        <v>360</v>
      </c>
      <c r="C299" s="5">
        <v>27</v>
      </c>
      <c r="D299" s="5" t="s">
        <v>39</v>
      </c>
      <c r="E299" s="5" t="s">
        <v>27</v>
      </c>
      <c r="F299" s="5">
        <v>30</v>
      </c>
      <c r="G299" s="5">
        <v>0</v>
      </c>
      <c r="H299" s="5">
        <v>16.5</v>
      </c>
      <c r="I299" s="5">
        <v>2.1</v>
      </c>
      <c r="J299" s="5">
        <v>5.0999999999999996</v>
      </c>
      <c r="K299" s="6">
        <f>IFERROR(database_24_25!$I299/database_24_25!$J299,0)</f>
        <v>0.41176470588235298</v>
      </c>
      <c r="L299" s="5">
        <v>0.7</v>
      </c>
      <c r="M299" s="5">
        <v>2.6</v>
      </c>
      <c r="N299" s="6">
        <f>IFERROR(database_24_25!$L299/database_24_25!$M299,0)</f>
        <v>0.26923076923076922</v>
      </c>
      <c r="O299" s="5">
        <v>1.4</v>
      </c>
      <c r="P299" s="5">
        <f>database_24_25!$Q299/10</f>
        <v>2.5</v>
      </c>
      <c r="Q299" s="5">
        <v>25</v>
      </c>
      <c r="R299" s="6">
        <f>IFERROR(database_24_25!$O299/database_24_25!$P299,0)</f>
        <v>0.55999999999999994</v>
      </c>
      <c r="S299" s="5">
        <v>0.9</v>
      </c>
      <c r="T299" s="5">
        <v>1.4</v>
      </c>
      <c r="U299" s="6">
        <f>IFERROR(database_24_25!$S299/database_24_25!$T299,0)</f>
        <v>0.6428571428571429</v>
      </c>
      <c r="V299" s="5">
        <v>1.7</v>
      </c>
      <c r="W299" s="5">
        <v>2.9</v>
      </c>
      <c r="X299" s="5">
        <v>4.5999999999999996</v>
      </c>
      <c r="Y299" s="5">
        <v>0.4</v>
      </c>
      <c r="Z299" s="5">
        <v>0.8</v>
      </c>
      <c r="AA299" s="5">
        <v>1.3</v>
      </c>
      <c r="AB299" s="5">
        <v>0.6</v>
      </c>
      <c r="AC299" s="5">
        <v>1.5</v>
      </c>
      <c r="AD299" s="5">
        <v>5.7</v>
      </c>
    </row>
    <row r="300" spans="1:30" x14ac:dyDescent="0.25">
      <c r="A300" s="7">
        <v>2990</v>
      </c>
      <c r="B300" s="7" t="s">
        <v>361</v>
      </c>
      <c r="C300" s="7">
        <v>24</v>
      </c>
      <c r="D300" s="7" t="s">
        <v>73</v>
      </c>
      <c r="E300" s="7" t="s">
        <v>32</v>
      </c>
      <c r="F300" s="7">
        <v>23</v>
      </c>
      <c r="G300" s="7">
        <v>0</v>
      </c>
      <c r="H300" s="7">
        <v>13.5</v>
      </c>
      <c r="I300" s="7">
        <v>2.2999999999999998</v>
      </c>
      <c r="J300" s="7">
        <v>4.5</v>
      </c>
      <c r="K300" s="6">
        <f>IFERROR(database_24_25!$I300/database_24_25!$J300,0)</f>
        <v>0.51111111111111107</v>
      </c>
      <c r="L300" s="7">
        <v>0.9</v>
      </c>
      <c r="M300" s="7">
        <v>2.2999999999999998</v>
      </c>
      <c r="N300" s="6">
        <f>IFERROR(database_24_25!$L300/database_24_25!$M300,0)</f>
        <v>0.39130434782608697</v>
      </c>
      <c r="O300" s="7">
        <v>1.4</v>
      </c>
      <c r="P300" s="5">
        <f>database_24_25!$Q300/10</f>
        <v>2.2999999999999998</v>
      </c>
      <c r="Q300" s="7">
        <v>23</v>
      </c>
      <c r="R300" s="6">
        <f>IFERROR(database_24_25!$O300/database_24_25!$P300,0)</f>
        <v>0.60869565217391308</v>
      </c>
      <c r="S300" s="7">
        <v>0.3</v>
      </c>
      <c r="T300" s="7">
        <v>0.3</v>
      </c>
      <c r="U300" s="6">
        <f>IFERROR(database_24_25!$S300/database_24_25!$T300,0)</f>
        <v>1</v>
      </c>
      <c r="V300" s="7">
        <v>0.3</v>
      </c>
      <c r="W300" s="7">
        <v>0.7</v>
      </c>
      <c r="X300" s="7">
        <v>1</v>
      </c>
      <c r="Y300" s="7">
        <v>1.9</v>
      </c>
      <c r="Z300" s="7">
        <v>0.8</v>
      </c>
      <c r="AA300" s="7">
        <v>0.1</v>
      </c>
      <c r="AB300" s="7">
        <v>0.9</v>
      </c>
      <c r="AC300" s="7">
        <v>1.2</v>
      </c>
      <c r="AD300" s="7">
        <v>5.7</v>
      </c>
    </row>
    <row r="301" spans="1:30" x14ac:dyDescent="0.25">
      <c r="A301" s="7">
        <v>3000</v>
      </c>
      <c r="B301" s="7" t="s">
        <v>362</v>
      </c>
      <c r="C301" s="7">
        <v>27</v>
      </c>
      <c r="D301" s="7" t="s">
        <v>49</v>
      </c>
      <c r="E301" s="7" t="s">
        <v>35</v>
      </c>
      <c r="F301" s="7">
        <v>27</v>
      </c>
      <c r="G301" s="7">
        <v>4</v>
      </c>
      <c r="H301" s="7">
        <v>14</v>
      </c>
      <c r="I301" s="7">
        <v>2</v>
      </c>
      <c r="J301" s="7">
        <v>4.3</v>
      </c>
      <c r="K301" s="6">
        <f>IFERROR(database_24_25!$I301/database_24_25!$J301,0)</f>
        <v>0.46511627906976744</v>
      </c>
      <c r="L301" s="7">
        <v>0.4</v>
      </c>
      <c r="M301" s="7">
        <v>1.5</v>
      </c>
      <c r="N301" s="6">
        <f>IFERROR(database_24_25!$L301/database_24_25!$M301,0)</f>
        <v>0.26666666666666666</v>
      </c>
      <c r="O301" s="7">
        <v>1.6</v>
      </c>
      <c r="P301" s="5">
        <f>database_24_25!$Q301/10</f>
        <v>2.8</v>
      </c>
      <c r="Q301" s="7">
        <v>28</v>
      </c>
      <c r="R301" s="6">
        <f>IFERROR(database_24_25!$O301/database_24_25!$P301,0)</f>
        <v>0.57142857142857151</v>
      </c>
      <c r="S301" s="7">
        <v>1.1000000000000001</v>
      </c>
      <c r="T301" s="7">
        <v>1.3</v>
      </c>
      <c r="U301" s="6">
        <f>IFERROR(database_24_25!$S301/database_24_25!$T301,0)</f>
        <v>0.84615384615384615</v>
      </c>
      <c r="V301" s="7">
        <v>1.3</v>
      </c>
      <c r="W301" s="7">
        <v>2</v>
      </c>
      <c r="X301" s="7">
        <v>3.3</v>
      </c>
      <c r="Y301" s="7">
        <v>1.7</v>
      </c>
      <c r="Z301" s="7">
        <v>0.5</v>
      </c>
      <c r="AA301" s="7">
        <v>0.5</v>
      </c>
      <c r="AB301" s="7">
        <v>0.8</v>
      </c>
      <c r="AC301" s="7">
        <v>2.2999999999999998</v>
      </c>
      <c r="AD301" s="7">
        <v>5.6</v>
      </c>
    </row>
    <row r="302" spans="1:30" x14ac:dyDescent="0.25">
      <c r="A302" s="7">
        <v>3020</v>
      </c>
      <c r="B302" s="7" t="s">
        <v>364</v>
      </c>
      <c r="C302" s="7">
        <v>20</v>
      </c>
      <c r="D302" s="7" t="s">
        <v>124</v>
      </c>
      <c r="E302" s="7" t="s">
        <v>35</v>
      </c>
      <c r="F302" s="7">
        <v>26</v>
      </c>
      <c r="G302" s="7">
        <v>7</v>
      </c>
      <c r="H302" s="7">
        <v>16</v>
      </c>
      <c r="I302" s="7">
        <v>2.2999999999999998</v>
      </c>
      <c r="J302" s="7">
        <v>4.3</v>
      </c>
      <c r="K302" s="6">
        <f>IFERROR(database_24_25!$I302/database_24_25!$J302,0)</f>
        <v>0.53488372093023251</v>
      </c>
      <c r="L302" s="7">
        <v>0.2</v>
      </c>
      <c r="M302" s="7">
        <v>0.6</v>
      </c>
      <c r="N302" s="6">
        <f>IFERROR(database_24_25!$L302/database_24_25!$M302,0)</f>
        <v>0.33333333333333337</v>
      </c>
      <c r="O302" s="7">
        <v>2.1</v>
      </c>
      <c r="P302" s="5">
        <f>database_24_25!$Q302/10</f>
        <v>3.7</v>
      </c>
      <c r="Q302" s="7">
        <v>37</v>
      </c>
      <c r="R302" s="6">
        <f>IFERROR(database_24_25!$O302/database_24_25!$P302,0)</f>
        <v>0.56756756756756754</v>
      </c>
      <c r="S302" s="7">
        <v>0.8</v>
      </c>
      <c r="T302" s="7">
        <v>1.1000000000000001</v>
      </c>
      <c r="U302" s="6">
        <f>IFERROR(database_24_25!$S302/database_24_25!$T302,0)</f>
        <v>0.72727272727272729</v>
      </c>
      <c r="V302" s="7">
        <v>2.7</v>
      </c>
      <c r="W302" s="7">
        <v>3.3</v>
      </c>
      <c r="X302" s="7">
        <v>6</v>
      </c>
      <c r="Y302" s="7">
        <v>0.6</v>
      </c>
      <c r="Z302" s="7">
        <v>0.5</v>
      </c>
      <c r="AA302" s="7">
        <v>1.6</v>
      </c>
      <c r="AB302" s="7">
        <v>1.2</v>
      </c>
      <c r="AC302" s="7">
        <v>2.7</v>
      </c>
      <c r="AD302" s="7">
        <v>5.5</v>
      </c>
    </row>
    <row r="303" spans="1:30" x14ac:dyDescent="0.25">
      <c r="A303" s="7">
        <v>3030</v>
      </c>
      <c r="B303" s="7" t="s">
        <v>365</v>
      </c>
      <c r="C303" s="7">
        <v>29</v>
      </c>
      <c r="D303" s="7" t="s">
        <v>45</v>
      </c>
      <c r="E303" s="7" t="s">
        <v>32</v>
      </c>
      <c r="F303" s="7">
        <v>27</v>
      </c>
      <c r="G303" s="7">
        <v>0</v>
      </c>
      <c r="H303" s="7">
        <v>13.6</v>
      </c>
      <c r="I303" s="7">
        <v>1.9</v>
      </c>
      <c r="J303" s="7">
        <v>4.5999999999999996</v>
      </c>
      <c r="K303" s="6">
        <f>IFERROR(database_24_25!$I303/database_24_25!$J303,0)</f>
        <v>0.41304347826086957</v>
      </c>
      <c r="L303" s="7">
        <v>0.6</v>
      </c>
      <c r="M303" s="7">
        <v>2</v>
      </c>
      <c r="N303" s="6">
        <f>IFERROR(database_24_25!$L303/database_24_25!$M303,0)</f>
        <v>0.3</v>
      </c>
      <c r="O303" s="7">
        <v>1.3</v>
      </c>
      <c r="P303" s="5">
        <f>database_24_25!$Q303/10</f>
        <v>2.6</v>
      </c>
      <c r="Q303" s="7">
        <v>26</v>
      </c>
      <c r="R303" s="6">
        <f>IFERROR(database_24_25!$O303/database_24_25!$P303,0)</f>
        <v>0.5</v>
      </c>
      <c r="S303" s="7">
        <v>1</v>
      </c>
      <c r="T303" s="7">
        <v>1.3</v>
      </c>
      <c r="U303" s="6">
        <f>IFERROR(database_24_25!$S303/database_24_25!$T303,0)</f>
        <v>0.76923076923076916</v>
      </c>
      <c r="V303" s="7">
        <v>0.3</v>
      </c>
      <c r="W303" s="7">
        <v>1.3</v>
      </c>
      <c r="X303" s="7">
        <v>1.6</v>
      </c>
      <c r="Y303" s="7">
        <v>1.8</v>
      </c>
      <c r="Z303" s="7">
        <v>0.5</v>
      </c>
      <c r="AA303" s="7">
        <v>0.1</v>
      </c>
      <c r="AB303" s="7">
        <v>0.5</v>
      </c>
      <c r="AC303" s="7">
        <v>0.6</v>
      </c>
      <c r="AD303" s="7">
        <v>5.5</v>
      </c>
    </row>
    <row r="304" spans="1:30" x14ac:dyDescent="0.25">
      <c r="A304" s="5">
        <v>3010</v>
      </c>
      <c r="B304" s="5" t="s">
        <v>363</v>
      </c>
      <c r="C304" s="5">
        <v>30</v>
      </c>
      <c r="D304" s="5" t="s">
        <v>31</v>
      </c>
      <c r="E304" s="5" t="s">
        <v>58</v>
      </c>
      <c r="F304" s="5">
        <v>20</v>
      </c>
      <c r="G304" s="5">
        <v>0</v>
      </c>
      <c r="H304" s="5">
        <v>19.899999999999999</v>
      </c>
      <c r="I304" s="5">
        <v>2.2000000000000002</v>
      </c>
      <c r="J304" s="5">
        <v>5.7</v>
      </c>
      <c r="K304" s="6">
        <f>IFERROR(database_24_25!$I304/database_24_25!$J304,0)</f>
        <v>0.38596491228070179</v>
      </c>
      <c r="L304" s="5">
        <v>0.9</v>
      </c>
      <c r="M304" s="5">
        <v>3.3</v>
      </c>
      <c r="N304" s="6">
        <f>IFERROR(database_24_25!$L304/database_24_25!$M304,0)</f>
        <v>0.27272727272727276</v>
      </c>
      <c r="O304" s="5">
        <v>1.3</v>
      </c>
      <c r="P304" s="5">
        <f>database_24_25!$Q304/10</f>
        <v>2.5</v>
      </c>
      <c r="Q304" s="5">
        <v>25</v>
      </c>
      <c r="R304" s="6">
        <f>IFERROR(database_24_25!$O304/database_24_25!$P304,0)</f>
        <v>0.52</v>
      </c>
      <c r="S304" s="5">
        <v>0.4</v>
      </c>
      <c r="T304" s="5">
        <v>0.5</v>
      </c>
      <c r="U304" s="6">
        <f>IFERROR(database_24_25!$S304/database_24_25!$T304,0)</f>
        <v>0.8</v>
      </c>
      <c r="V304" s="5">
        <v>0.6</v>
      </c>
      <c r="W304" s="5">
        <v>2.2999999999999998</v>
      </c>
      <c r="X304" s="5">
        <v>2.9</v>
      </c>
      <c r="Y304" s="5">
        <v>2.5</v>
      </c>
      <c r="Z304" s="5">
        <v>1.9</v>
      </c>
      <c r="AA304" s="5">
        <v>0.6</v>
      </c>
      <c r="AB304" s="5">
        <v>0.8</v>
      </c>
      <c r="AC304" s="5">
        <v>2</v>
      </c>
      <c r="AD304" s="5">
        <v>5.5</v>
      </c>
    </row>
    <row r="305" spans="1:30" x14ac:dyDescent="0.25">
      <c r="A305" s="5">
        <v>3050</v>
      </c>
      <c r="B305" s="5" t="s">
        <v>367</v>
      </c>
      <c r="C305" s="5">
        <v>27</v>
      </c>
      <c r="D305" s="5" t="s">
        <v>86</v>
      </c>
      <c r="E305" s="5" t="s">
        <v>58</v>
      </c>
      <c r="F305" s="5">
        <v>26</v>
      </c>
      <c r="G305" s="5">
        <v>8</v>
      </c>
      <c r="H305" s="5">
        <v>17.5</v>
      </c>
      <c r="I305" s="5">
        <v>2</v>
      </c>
      <c r="J305" s="5">
        <v>5.6</v>
      </c>
      <c r="K305" s="6">
        <f>IFERROR(database_24_25!$I305/database_24_25!$J305,0)</f>
        <v>0.35714285714285715</v>
      </c>
      <c r="L305" s="5">
        <v>1.3</v>
      </c>
      <c r="M305" s="5">
        <v>4</v>
      </c>
      <c r="N305" s="6">
        <f>IFERROR(database_24_25!$L305/database_24_25!$M305,0)</f>
        <v>0.32500000000000001</v>
      </c>
      <c r="O305" s="5">
        <v>0.7</v>
      </c>
      <c r="P305" s="5">
        <f>database_24_25!$Q305/10</f>
        <v>1.6</v>
      </c>
      <c r="Q305" s="5">
        <v>16</v>
      </c>
      <c r="R305" s="6">
        <f>IFERROR(database_24_25!$O305/database_24_25!$P305,0)</f>
        <v>0.43749999999999994</v>
      </c>
      <c r="S305" s="5">
        <v>0.2</v>
      </c>
      <c r="T305" s="5">
        <v>0.3</v>
      </c>
      <c r="U305" s="6">
        <f>IFERROR(database_24_25!$S305/database_24_25!$T305,0)</f>
        <v>0.66666666666666674</v>
      </c>
      <c r="V305" s="5">
        <v>0.5</v>
      </c>
      <c r="W305" s="5">
        <v>2.1</v>
      </c>
      <c r="X305" s="5">
        <v>2.6</v>
      </c>
      <c r="Y305" s="5">
        <v>1.3</v>
      </c>
      <c r="Z305" s="5">
        <v>0.7</v>
      </c>
      <c r="AA305" s="5">
        <v>0.2</v>
      </c>
      <c r="AB305" s="5">
        <v>0.3</v>
      </c>
      <c r="AC305" s="5">
        <v>1.7</v>
      </c>
      <c r="AD305" s="5">
        <v>5.5</v>
      </c>
    </row>
    <row r="306" spans="1:30" x14ac:dyDescent="0.25">
      <c r="A306" s="5">
        <v>3040</v>
      </c>
      <c r="B306" s="5" t="s">
        <v>366</v>
      </c>
      <c r="C306" s="5">
        <v>25</v>
      </c>
      <c r="D306" s="5" t="s">
        <v>41</v>
      </c>
      <c r="E306" s="5" t="s">
        <v>35</v>
      </c>
      <c r="F306" s="5">
        <v>29</v>
      </c>
      <c r="G306" s="5">
        <v>5</v>
      </c>
      <c r="H306" s="5">
        <v>16.100000000000001</v>
      </c>
      <c r="I306" s="5">
        <v>2.2999999999999998</v>
      </c>
      <c r="J306" s="5">
        <v>3.6</v>
      </c>
      <c r="K306" s="6">
        <f>IFERROR(database_24_25!$I306/database_24_25!$J306,0)</f>
        <v>0.63888888888888884</v>
      </c>
      <c r="L306" s="5">
        <v>0</v>
      </c>
      <c r="M306" s="5">
        <v>0.1</v>
      </c>
      <c r="N306" s="6">
        <f>IFERROR(database_24_25!$L306/database_24_25!$M306,0)</f>
        <v>0</v>
      </c>
      <c r="O306" s="5">
        <v>2.2999999999999998</v>
      </c>
      <c r="P306" s="5">
        <f>database_24_25!$Q306/10</f>
        <v>3.5</v>
      </c>
      <c r="Q306" s="5">
        <v>35</v>
      </c>
      <c r="R306" s="6">
        <f>IFERROR(database_24_25!$O306/database_24_25!$P306,0)</f>
        <v>0.65714285714285714</v>
      </c>
      <c r="S306" s="5">
        <v>0.8</v>
      </c>
      <c r="T306" s="5">
        <v>1.1000000000000001</v>
      </c>
      <c r="U306" s="6">
        <f>IFERROR(database_24_25!$S306/database_24_25!$T306,0)</f>
        <v>0.72727272727272729</v>
      </c>
      <c r="V306" s="5">
        <v>1.7</v>
      </c>
      <c r="W306" s="5">
        <v>2.7</v>
      </c>
      <c r="X306" s="5">
        <v>4.4000000000000004</v>
      </c>
      <c r="Y306" s="5">
        <v>0.7</v>
      </c>
      <c r="Z306" s="5">
        <v>0.3</v>
      </c>
      <c r="AA306" s="5">
        <v>0.9</v>
      </c>
      <c r="AB306" s="5">
        <v>0.7</v>
      </c>
      <c r="AC306" s="5">
        <v>2</v>
      </c>
      <c r="AD306" s="5">
        <v>5.5</v>
      </c>
    </row>
    <row r="307" spans="1:30" x14ac:dyDescent="0.25">
      <c r="A307" s="7">
        <v>3070</v>
      </c>
      <c r="B307" s="7" t="s">
        <v>369</v>
      </c>
      <c r="C307" s="7">
        <v>27</v>
      </c>
      <c r="D307" s="7" t="s">
        <v>39</v>
      </c>
      <c r="E307" s="7" t="s">
        <v>58</v>
      </c>
      <c r="F307" s="7">
        <v>9</v>
      </c>
      <c r="G307" s="7">
        <v>2</v>
      </c>
      <c r="H307" s="7">
        <v>15.3</v>
      </c>
      <c r="I307" s="7">
        <v>2</v>
      </c>
      <c r="J307" s="7">
        <v>3.7</v>
      </c>
      <c r="K307" s="6">
        <f>IFERROR(database_24_25!$I307/database_24_25!$J307,0)</f>
        <v>0.54054054054054046</v>
      </c>
      <c r="L307" s="7">
        <v>1</v>
      </c>
      <c r="M307" s="7">
        <v>1.9</v>
      </c>
      <c r="N307" s="6">
        <f>IFERROR(database_24_25!$L307/database_24_25!$M307,0)</f>
        <v>0.52631578947368418</v>
      </c>
      <c r="O307" s="7">
        <v>1</v>
      </c>
      <c r="P307" s="5">
        <f>database_24_25!$Q307/10</f>
        <v>1.8</v>
      </c>
      <c r="Q307" s="7">
        <v>18</v>
      </c>
      <c r="R307" s="6">
        <f>IFERROR(database_24_25!$O307/database_24_25!$P307,0)</f>
        <v>0.55555555555555558</v>
      </c>
      <c r="S307" s="7">
        <v>0.4</v>
      </c>
      <c r="T307" s="7">
        <v>0.4</v>
      </c>
      <c r="U307" s="6">
        <f>IFERROR(database_24_25!$S307/database_24_25!$T307,0)</f>
        <v>1</v>
      </c>
      <c r="V307" s="7">
        <v>0.4</v>
      </c>
      <c r="W307" s="7">
        <v>0.7</v>
      </c>
      <c r="X307" s="7">
        <v>1.1000000000000001</v>
      </c>
      <c r="Y307" s="7">
        <v>1.3</v>
      </c>
      <c r="Z307" s="7">
        <v>1</v>
      </c>
      <c r="AA307" s="7">
        <v>0.3</v>
      </c>
      <c r="AB307" s="7">
        <v>1.1000000000000001</v>
      </c>
      <c r="AC307" s="7">
        <v>1.7</v>
      </c>
      <c r="AD307" s="7">
        <v>5.4</v>
      </c>
    </row>
    <row r="308" spans="1:30" x14ac:dyDescent="0.25">
      <c r="A308" s="5">
        <v>3060</v>
      </c>
      <c r="B308" s="5" t="s">
        <v>368</v>
      </c>
      <c r="C308" s="5">
        <v>25</v>
      </c>
      <c r="D308" s="5" t="s">
        <v>55</v>
      </c>
      <c r="E308" s="5" t="s">
        <v>27</v>
      </c>
      <c r="F308" s="5">
        <v>14</v>
      </c>
      <c r="G308" s="5">
        <v>1</v>
      </c>
      <c r="H308" s="5">
        <v>18.2</v>
      </c>
      <c r="I308" s="5">
        <v>2.1</v>
      </c>
      <c r="J308" s="5">
        <v>4.5</v>
      </c>
      <c r="K308" s="6">
        <f>IFERROR(database_24_25!$I308/database_24_25!$J308,0)</f>
        <v>0.46666666666666667</v>
      </c>
      <c r="L308" s="5">
        <v>0.4</v>
      </c>
      <c r="M308" s="5">
        <v>0.9</v>
      </c>
      <c r="N308" s="6">
        <f>IFERROR(database_24_25!$L308/database_24_25!$M308,0)</f>
        <v>0.44444444444444448</v>
      </c>
      <c r="O308" s="5">
        <v>1.8</v>
      </c>
      <c r="P308" s="5">
        <f>database_24_25!$Q308/10</f>
        <v>3.6</v>
      </c>
      <c r="Q308" s="5">
        <v>36</v>
      </c>
      <c r="R308" s="6">
        <f>IFERROR(database_24_25!$O308/database_24_25!$P308,0)</f>
        <v>0.5</v>
      </c>
      <c r="S308" s="5">
        <v>0.7</v>
      </c>
      <c r="T308" s="5">
        <v>1.4</v>
      </c>
      <c r="U308" s="6">
        <f>IFERROR(database_24_25!$S308/database_24_25!$T308,0)</f>
        <v>0.5</v>
      </c>
      <c r="V308" s="5">
        <v>2</v>
      </c>
      <c r="W308" s="5">
        <v>4.4000000000000004</v>
      </c>
      <c r="X308" s="5">
        <v>6.4</v>
      </c>
      <c r="Y308" s="5">
        <v>1.1000000000000001</v>
      </c>
      <c r="Z308" s="5">
        <v>0.6</v>
      </c>
      <c r="AA308" s="5">
        <v>0.8</v>
      </c>
      <c r="AB308" s="5">
        <v>1</v>
      </c>
      <c r="AC308" s="5">
        <v>1.3</v>
      </c>
      <c r="AD308" s="5">
        <v>5.4</v>
      </c>
    </row>
    <row r="309" spans="1:30" x14ac:dyDescent="0.25">
      <c r="A309" s="7">
        <v>3080</v>
      </c>
      <c r="B309" s="7" t="s">
        <v>370</v>
      </c>
      <c r="C309" s="7">
        <v>23</v>
      </c>
      <c r="D309" s="7" t="s">
        <v>108</v>
      </c>
      <c r="E309" s="7" t="s">
        <v>58</v>
      </c>
      <c r="F309" s="7">
        <v>21</v>
      </c>
      <c r="G309" s="7">
        <v>6</v>
      </c>
      <c r="H309" s="7">
        <v>19.899999999999999</v>
      </c>
      <c r="I309" s="7">
        <v>2</v>
      </c>
      <c r="J309" s="7">
        <v>4.9000000000000004</v>
      </c>
      <c r="K309" s="6">
        <f>IFERROR(database_24_25!$I309/database_24_25!$J309,0)</f>
        <v>0.4081632653061224</v>
      </c>
      <c r="L309" s="7">
        <v>1.3</v>
      </c>
      <c r="M309" s="7">
        <v>3.5</v>
      </c>
      <c r="N309" s="6">
        <f>IFERROR(database_24_25!$L309/database_24_25!$M309,0)</f>
        <v>0.37142857142857144</v>
      </c>
      <c r="O309" s="7">
        <v>0.7</v>
      </c>
      <c r="P309" s="5">
        <f>database_24_25!$Q309/10</f>
        <v>1.4</v>
      </c>
      <c r="Q309" s="7">
        <v>14</v>
      </c>
      <c r="R309" s="6">
        <f>IFERROR(database_24_25!$O309/database_24_25!$P309,0)</f>
        <v>0.5</v>
      </c>
      <c r="S309" s="7">
        <v>0</v>
      </c>
      <c r="T309" s="7">
        <v>0</v>
      </c>
      <c r="U309" s="6">
        <f>IFERROR(database_24_25!$S309/database_24_25!$T309,0)</f>
        <v>0</v>
      </c>
      <c r="V309" s="7">
        <v>0.6</v>
      </c>
      <c r="W309" s="7">
        <v>1.9</v>
      </c>
      <c r="X309" s="7">
        <v>2.5</v>
      </c>
      <c r="Y309" s="7">
        <v>1</v>
      </c>
      <c r="Z309" s="7">
        <v>0.5</v>
      </c>
      <c r="AA309" s="7">
        <v>0.3</v>
      </c>
      <c r="AB309" s="7">
        <v>0.3</v>
      </c>
      <c r="AC309" s="7">
        <v>2.5</v>
      </c>
      <c r="AD309" s="7">
        <v>5.4</v>
      </c>
    </row>
    <row r="310" spans="1:30" x14ac:dyDescent="0.25">
      <c r="A310" s="5">
        <v>3110</v>
      </c>
      <c r="B310" s="5" t="s">
        <v>373</v>
      </c>
      <c r="C310" s="5">
        <v>36</v>
      </c>
      <c r="D310" s="5" t="s">
        <v>53</v>
      </c>
      <c r="E310" s="5" t="s">
        <v>58</v>
      </c>
      <c r="F310" s="5">
        <v>21</v>
      </c>
      <c r="G310" s="5">
        <v>1</v>
      </c>
      <c r="H310" s="5">
        <v>17</v>
      </c>
      <c r="I310" s="5">
        <v>1.8</v>
      </c>
      <c r="J310" s="5">
        <v>4.8</v>
      </c>
      <c r="K310" s="6">
        <f>IFERROR(database_24_25!$I310/database_24_25!$J310,0)</f>
        <v>0.375</v>
      </c>
      <c r="L310" s="5">
        <v>0.9</v>
      </c>
      <c r="M310" s="5">
        <v>2.9</v>
      </c>
      <c r="N310" s="6">
        <f>IFERROR(database_24_25!$L310/database_24_25!$M310,0)</f>
        <v>0.31034482758620691</v>
      </c>
      <c r="O310" s="5">
        <v>1</v>
      </c>
      <c r="P310" s="5">
        <f>database_24_25!$Q310/10</f>
        <v>1.9</v>
      </c>
      <c r="Q310" s="5">
        <v>19</v>
      </c>
      <c r="R310" s="6">
        <f>IFERROR(database_24_25!$O310/database_24_25!$P310,0)</f>
        <v>0.52631578947368418</v>
      </c>
      <c r="S310" s="5">
        <v>0.9</v>
      </c>
      <c r="T310" s="5">
        <v>1.1000000000000001</v>
      </c>
      <c r="U310" s="6">
        <f>IFERROR(database_24_25!$S310/database_24_25!$T310,0)</f>
        <v>0.81818181818181812</v>
      </c>
      <c r="V310" s="5">
        <v>0.1</v>
      </c>
      <c r="W310" s="5">
        <v>0.8</v>
      </c>
      <c r="X310" s="5">
        <v>1</v>
      </c>
      <c r="Y310" s="5">
        <v>1.3</v>
      </c>
      <c r="Z310" s="5">
        <v>0.6</v>
      </c>
      <c r="AA310" s="5">
        <v>0.3</v>
      </c>
      <c r="AB310" s="5">
        <v>0.7</v>
      </c>
      <c r="AC310" s="5">
        <v>0.7</v>
      </c>
      <c r="AD310" s="5">
        <v>5.3</v>
      </c>
    </row>
    <row r="311" spans="1:30" x14ac:dyDescent="0.25">
      <c r="A311" s="7">
        <v>3120</v>
      </c>
      <c r="B311" s="7" t="s">
        <v>374</v>
      </c>
      <c r="C311" s="7">
        <v>24</v>
      </c>
      <c r="D311" s="7" t="s">
        <v>88</v>
      </c>
      <c r="E311" s="7" t="s">
        <v>58</v>
      </c>
      <c r="F311" s="7">
        <v>3</v>
      </c>
      <c r="G311" s="7">
        <v>0</v>
      </c>
      <c r="H311" s="7">
        <v>15</v>
      </c>
      <c r="I311" s="7">
        <v>2.2999999999999998</v>
      </c>
      <c r="J311" s="7">
        <v>6.3</v>
      </c>
      <c r="K311" s="6">
        <f>IFERROR(database_24_25!$I311/database_24_25!$J311,0)</f>
        <v>0.36507936507936506</v>
      </c>
      <c r="L311" s="7">
        <v>0.3</v>
      </c>
      <c r="M311" s="7">
        <v>2.7</v>
      </c>
      <c r="N311" s="6">
        <f>IFERROR(database_24_25!$L311/database_24_25!$M311,0)</f>
        <v>0.1111111111111111</v>
      </c>
      <c r="O311" s="7">
        <v>2</v>
      </c>
      <c r="P311" s="5">
        <f>database_24_25!$Q311/10</f>
        <v>3.7</v>
      </c>
      <c r="Q311" s="7">
        <v>37</v>
      </c>
      <c r="R311" s="6">
        <f>IFERROR(database_24_25!$O311/database_24_25!$P311,0)</f>
        <v>0.54054054054054046</v>
      </c>
      <c r="S311" s="7">
        <v>0.3</v>
      </c>
      <c r="T311" s="7">
        <v>1.3</v>
      </c>
      <c r="U311" s="6">
        <f>IFERROR(database_24_25!$S311/database_24_25!$T311,0)</f>
        <v>0.23076923076923075</v>
      </c>
      <c r="V311" s="7">
        <v>1.3</v>
      </c>
      <c r="W311" s="7">
        <v>2.2999999999999998</v>
      </c>
      <c r="X311" s="7">
        <v>3.7</v>
      </c>
      <c r="Y311" s="7">
        <v>3</v>
      </c>
      <c r="Z311" s="7">
        <v>0</v>
      </c>
      <c r="AA311" s="7">
        <v>0.7</v>
      </c>
      <c r="AB311" s="7">
        <v>2.2999999999999998</v>
      </c>
      <c r="AC311" s="7">
        <v>3</v>
      </c>
      <c r="AD311" s="7">
        <v>5.3</v>
      </c>
    </row>
    <row r="312" spans="1:30" x14ac:dyDescent="0.25">
      <c r="A312" s="5">
        <v>3090</v>
      </c>
      <c r="B312" s="5" t="s">
        <v>371</v>
      </c>
      <c r="C312" s="5">
        <v>27</v>
      </c>
      <c r="D312" s="5" t="s">
        <v>90</v>
      </c>
      <c r="E312" s="5" t="s">
        <v>32</v>
      </c>
      <c r="F312" s="5">
        <v>15</v>
      </c>
      <c r="G312" s="5">
        <v>0</v>
      </c>
      <c r="H312" s="5">
        <v>18.5</v>
      </c>
      <c r="I312" s="5">
        <v>1.7</v>
      </c>
      <c r="J312" s="5">
        <v>5.3</v>
      </c>
      <c r="K312" s="6">
        <f>IFERROR(database_24_25!$I312/database_24_25!$J312,0)</f>
        <v>0.32075471698113206</v>
      </c>
      <c r="L312" s="5">
        <v>1.3</v>
      </c>
      <c r="M312" s="5">
        <v>4.4000000000000004</v>
      </c>
      <c r="N312" s="6">
        <f>IFERROR(database_24_25!$L312/database_24_25!$M312,0)</f>
        <v>0.29545454545454541</v>
      </c>
      <c r="O312" s="5">
        <v>0.4</v>
      </c>
      <c r="P312" s="5">
        <f>database_24_25!$Q312/10</f>
        <v>0.9</v>
      </c>
      <c r="Q312" s="5">
        <v>9</v>
      </c>
      <c r="R312" s="6">
        <f>IFERROR(database_24_25!$O312/database_24_25!$P312,0)</f>
        <v>0.44444444444444448</v>
      </c>
      <c r="S312" s="5">
        <v>0.5</v>
      </c>
      <c r="T312" s="5">
        <v>0.7</v>
      </c>
      <c r="U312" s="6">
        <f>IFERROR(database_24_25!$S312/database_24_25!$T312,0)</f>
        <v>0.7142857142857143</v>
      </c>
      <c r="V312" s="5">
        <v>0.4</v>
      </c>
      <c r="W312" s="5">
        <v>3</v>
      </c>
      <c r="X312" s="5">
        <v>3.4</v>
      </c>
      <c r="Y312" s="5">
        <v>3.7</v>
      </c>
      <c r="Z312" s="5">
        <v>1.3</v>
      </c>
      <c r="AA312" s="5">
        <v>0.5</v>
      </c>
      <c r="AB312" s="5">
        <v>1.1000000000000001</v>
      </c>
      <c r="AC312" s="5">
        <v>1.4</v>
      </c>
      <c r="AD312" s="5">
        <v>5.3</v>
      </c>
    </row>
    <row r="313" spans="1:30" x14ac:dyDescent="0.25">
      <c r="A313" s="7">
        <v>3100</v>
      </c>
      <c r="B313" s="7" t="s">
        <v>372</v>
      </c>
      <c r="C313" s="7">
        <v>21</v>
      </c>
      <c r="D313" s="7" t="s">
        <v>84</v>
      </c>
      <c r="E313" s="7" t="s">
        <v>58</v>
      </c>
      <c r="F313" s="7">
        <v>10</v>
      </c>
      <c r="G313" s="7">
        <v>0</v>
      </c>
      <c r="H313" s="7">
        <v>12.4</v>
      </c>
      <c r="I313" s="7">
        <v>1.8</v>
      </c>
      <c r="J313" s="7">
        <v>4.7</v>
      </c>
      <c r="K313" s="6">
        <f>IFERROR(database_24_25!$I313/database_24_25!$J313,0)</f>
        <v>0.38297872340425532</v>
      </c>
      <c r="L313" s="7">
        <v>0.4</v>
      </c>
      <c r="M313" s="7">
        <v>1.9</v>
      </c>
      <c r="N313" s="6">
        <f>IFERROR(database_24_25!$L313/database_24_25!$M313,0)</f>
        <v>0.2105263157894737</v>
      </c>
      <c r="O313" s="7">
        <v>1.4</v>
      </c>
      <c r="P313" s="5">
        <f>database_24_25!$Q313/10</f>
        <v>2.8</v>
      </c>
      <c r="Q313" s="7">
        <v>28</v>
      </c>
      <c r="R313" s="6">
        <f>IFERROR(database_24_25!$O313/database_24_25!$P313,0)</f>
        <v>0.5</v>
      </c>
      <c r="S313" s="7">
        <v>1.3</v>
      </c>
      <c r="T313" s="7">
        <v>1.8</v>
      </c>
      <c r="U313" s="6">
        <f>IFERROR(database_24_25!$S313/database_24_25!$T313,0)</f>
        <v>0.72222222222222221</v>
      </c>
      <c r="V313" s="7">
        <v>0.5</v>
      </c>
      <c r="W313" s="7">
        <v>1.6</v>
      </c>
      <c r="X313" s="7">
        <v>2.1</v>
      </c>
      <c r="Y313" s="7">
        <v>1.7</v>
      </c>
      <c r="Z313" s="7">
        <v>0.3</v>
      </c>
      <c r="AA313" s="7">
        <v>0.2</v>
      </c>
      <c r="AB313" s="7">
        <v>0.8</v>
      </c>
      <c r="AC313" s="7">
        <v>0.9</v>
      </c>
      <c r="AD313" s="7">
        <v>5.3</v>
      </c>
    </row>
    <row r="314" spans="1:30" x14ac:dyDescent="0.25">
      <c r="A314" s="5">
        <v>3150</v>
      </c>
      <c r="B314" s="5" t="s">
        <v>377</v>
      </c>
      <c r="C314" s="5">
        <v>20</v>
      </c>
      <c r="D314" s="5" t="s">
        <v>70</v>
      </c>
      <c r="E314" s="5" t="s">
        <v>35</v>
      </c>
      <c r="F314" s="5">
        <v>17</v>
      </c>
      <c r="G314" s="5">
        <v>0</v>
      </c>
      <c r="H314" s="5">
        <v>10.3</v>
      </c>
      <c r="I314" s="5">
        <v>2.2000000000000002</v>
      </c>
      <c r="J314" s="5">
        <v>3.5</v>
      </c>
      <c r="K314" s="6">
        <f>IFERROR(database_24_25!$I314/database_24_25!$J314,0)</f>
        <v>0.62857142857142867</v>
      </c>
      <c r="L314" s="5">
        <v>0.4</v>
      </c>
      <c r="M314" s="5">
        <v>0.9</v>
      </c>
      <c r="N314" s="6">
        <f>IFERROR(database_24_25!$L314/database_24_25!$M314,0)</f>
        <v>0.44444444444444448</v>
      </c>
      <c r="O314" s="5">
        <v>1.8</v>
      </c>
      <c r="P314" s="5">
        <f>database_24_25!$Q314/10</f>
        <v>2.6</v>
      </c>
      <c r="Q314" s="5">
        <v>26</v>
      </c>
      <c r="R314" s="6">
        <f>IFERROR(database_24_25!$O314/database_24_25!$P314,0)</f>
        <v>0.69230769230769229</v>
      </c>
      <c r="S314" s="5">
        <v>0.5</v>
      </c>
      <c r="T314" s="5">
        <v>0.7</v>
      </c>
      <c r="U314" s="6">
        <f>IFERROR(database_24_25!$S314/database_24_25!$T314,0)</f>
        <v>0.7142857142857143</v>
      </c>
      <c r="V314" s="5">
        <v>0.5</v>
      </c>
      <c r="W314" s="5">
        <v>2.1</v>
      </c>
      <c r="X314" s="5">
        <v>2.5</v>
      </c>
      <c r="Y314" s="5">
        <v>0.4</v>
      </c>
      <c r="Z314" s="5">
        <v>0.4</v>
      </c>
      <c r="AA314" s="5">
        <v>0.8</v>
      </c>
      <c r="AB314" s="5">
        <v>0.5</v>
      </c>
      <c r="AC314" s="5">
        <v>1</v>
      </c>
      <c r="AD314" s="5">
        <v>5.2</v>
      </c>
    </row>
    <row r="315" spans="1:30" x14ac:dyDescent="0.25">
      <c r="A315" s="7">
        <v>3140</v>
      </c>
      <c r="B315" s="7" t="s">
        <v>376</v>
      </c>
      <c r="C315" s="7">
        <v>25</v>
      </c>
      <c r="D315" s="7" t="s">
        <v>73</v>
      </c>
      <c r="E315" s="7" t="s">
        <v>35</v>
      </c>
      <c r="F315" s="7">
        <v>19</v>
      </c>
      <c r="G315" s="7">
        <v>0</v>
      </c>
      <c r="H315" s="7">
        <v>11.5</v>
      </c>
      <c r="I315" s="7">
        <v>1.9</v>
      </c>
      <c r="J315" s="7">
        <v>3.4</v>
      </c>
      <c r="K315" s="6">
        <f>IFERROR(database_24_25!$I315/database_24_25!$J315,0)</f>
        <v>0.55882352941176472</v>
      </c>
      <c r="L315" s="7">
        <v>0.3</v>
      </c>
      <c r="M315" s="7">
        <v>0.8</v>
      </c>
      <c r="N315" s="6">
        <f>IFERROR(database_24_25!$L315/database_24_25!$M315,0)</f>
        <v>0.37499999999999994</v>
      </c>
      <c r="O315" s="7">
        <v>1.7</v>
      </c>
      <c r="P315" s="5">
        <f>database_24_25!$Q315/10</f>
        <v>2.6</v>
      </c>
      <c r="Q315" s="7">
        <v>26</v>
      </c>
      <c r="R315" s="6">
        <f>IFERROR(database_24_25!$O315/database_24_25!$P315,0)</f>
        <v>0.65384615384615385</v>
      </c>
      <c r="S315" s="7">
        <v>1</v>
      </c>
      <c r="T315" s="7">
        <v>1.2</v>
      </c>
      <c r="U315" s="6">
        <f>IFERROR(database_24_25!$S315/database_24_25!$T315,0)</f>
        <v>0.83333333333333337</v>
      </c>
      <c r="V315" s="7">
        <v>0.8</v>
      </c>
      <c r="W315" s="7">
        <v>1.6</v>
      </c>
      <c r="X315" s="7">
        <v>2.4</v>
      </c>
      <c r="Y315" s="7">
        <v>1.1000000000000001</v>
      </c>
      <c r="Z315" s="7">
        <v>1.3</v>
      </c>
      <c r="AA315" s="7">
        <v>0.7</v>
      </c>
      <c r="AB315" s="7">
        <v>0.6</v>
      </c>
      <c r="AC315" s="7">
        <v>1.8</v>
      </c>
      <c r="AD315" s="7">
        <v>5.2</v>
      </c>
    </row>
    <row r="316" spans="1:30" x14ac:dyDescent="0.25">
      <c r="A316" s="5">
        <v>3130</v>
      </c>
      <c r="B316" s="5" t="s">
        <v>375</v>
      </c>
      <c r="C316" s="5">
        <v>34</v>
      </c>
      <c r="D316" s="5" t="s">
        <v>37</v>
      </c>
      <c r="E316" s="5" t="s">
        <v>58</v>
      </c>
      <c r="F316" s="5">
        <v>30</v>
      </c>
      <c r="G316" s="5">
        <v>8</v>
      </c>
      <c r="H316" s="5">
        <v>13.8</v>
      </c>
      <c r="I316" s="5">
        <v>1.9</v>
      </c>
      <c r="J316" s="5">
        <v>4.2</v>
      </c>
      <c r="K316" s="6">
        <f>IFERROR(database_24_25!$I316/database_24_25!$J316,0)</f>
        <v>0.45238095238095233</v>
      </c>
      <c r="L316" s="5">
        <v>0.9</v>
      </c>
      <c r="M316" s="5">
        <v>2.2000000000000002</v>
      </c>
      <c r="N316" s="6">
        <f>IFERROR(database_24_25!$L316/database_24_25!$M316,0)</f>
        <v>0.40909090909090906</v>
      </c>
      <c r="O316" s="5">
        <v>1</v>
      </c>
      <c r="P316" s="5">
        <f>database_24_25!$Q316/10</f>
        <v>2</v>
      </c>
      <c r="Q316" s="5">
        <v>20</v>
      </c>
      <c r="R316" s="6">
        <f>IFERROR(database_24_25!$O316/database_24_25!$P316,0)</f>
        <v>0.5</v>
      </c>
      <c r="S316" s="5">
        <v>0.4</v>
      </c>
      <c r="T316" s="5">
        <v>0.5</v>
      </c>
      <c r="U316" s="6">
        <f>IFERROR(database_24_25!$S316/database_24_25!$T316,0)</f>
        <v>0.8</v>
      </c>
      <c r="V316" s="5">
        <v>0.4</v>
      </c>
      <c r="W316" s="5">
        <v>1</v>
      </c>
      <c r="X316" s="5">
        <v>1.4</v>
      </c>
      <c r="Y316" s="5">
        <v>0.5</v>
      </c>
      <c r="Z316" s="5">
        <v>0.5</v>
      </c>
      <c r="AA316" s="5">
        <v>0.2</v>
      </c>
      <c r="AB316" s="5">
        <v>0.3</v>
      </c>
      <c r="AC316" s="5">
        <v>1</v>
      </c>
      <c r="AD316" s="5">
        <v>5.2</v>
      </c>
    </row>
    <row r="317" spans="1:30" x14ac:dyDescent="0.25">
      <c r="A317" s="7">
        <v>3170</v>
      </c>
      <c r="B317" s="7" t="s">
        <v>379</v>
      </c>
      <c r="C317" s="7">
        <v>24</v>
      </c>
      <c r="D317" s="7" t="s">
        <v>94</v>
      </c>
      <c r="E317" s="7" t="s">
        <v>58</v>
      </c>
      <c r="F317" s="7">
        <v>23</v>
      </c>
      <c r="G317" s="7">
        <v>0</v>
      </c>
      <c r="H317" s="7">
        <v>9.9</v>
      </c>
      <c r="I317" s="7">
        <v>2</v>
      </c>
      <c r="J317" s="7">
        <v>4.5</v>
      </c>
      <c r="K317" s="6">
        <f>IFERROR(database_24_25!$I317/database_24_25!$J317,0)</f>
        <v>0.44444444444444442</v>
      </c>
      <c r="L317" s="7">
        <v>0.3</v>
      </c>
      <c r="M317" s="7">
        <v>1.1000000000000001</v>
      </c>
      <c r="N317" s="6">
        <f>IFERROR(database_24_25!$L317/database_24_25!$M317,0)</f>
        <v>0.27272727272727271</v>
      </c>
      <c r="O317" s="7">
        <v>1.7</v>
      </c>
      <c r="P317" s="5">
        <f>database_24_25!$Q317/10</f>
        <v>3.4</v>
      </c>
      <c r="Q317" s="7">
        <v>34</v>
      </c>
      <c r="R317" s="6">
        <f>IFERROR(database_24_25!$O317/database_24_25!$P317,0)</f>
        <v>0.5</v>
      </c>
      <c r="S317" s="7">
        <v>0.7</v>
      </c>
      <c r="T317" s="7">
        <v>1</v>
      </c>
      <c r="U317" s="6">
        <f>IFERROR(database_24_25!$S317/database_24_25!$T317,0)</f>
        <v>0.7</v>
      </c>
      <c r="V317" s="7">
        <v>0.3</v>
      </c>
      <c r="W317" s="7">
        <v>0.6</v>
      </c>
      <c r="X317" s="7">
        <v>0.9</v>
      </c>
      <c r="Y317" s="7">
        <v>2.2999999999999998</v>
      </c>
      <c r="Z317" s="7">
        <v>0.3</v>
      </c>
      <c r="AA317" s="7">
        <v>0.1</v>
      </c>
      <c r="AB317" s="7">
        <v>0.8</v>
      </c>
      <c r="AC317" s="7">
        <v>1</v>
      </c>
      <c r="AD317" s="7">
        <v>5.0999999999999996</v>
      </c>
    </row>
    <row r="318" spans="1:30" x14ac:dyDescent="0.25">
      <c r="A318" s="5">
        <v>3200</v>
      </c>
      <c r="B318" s="5" t="s">
        <v>382</v>
      </c>
      <c r="C318" s="5">
        <v>23</v>
      </c>
      <c r="D318" s="5" t="s">
        <v>77</v>
      </c>
      <c r="E318" s="5" t="s">
        <v>27</v>
      </c>
      <c r="F318" s="5">
        <v>34</v>
      </c>
      <c r="G318" s="5">
        <v>6</v>
      </c>
      <c r="H318" s="5">
        <v>16.600000000000001</v>
      </c>
      <c r="I318" s="5">
        <v>2</v>
      </c>
      <c r="J318" s="5">
        <v>4.3</v>
      </c>
      <c r="K318" s="6">
        <f>IFERROR(database_24_25!$I318/database_24_25!$J318,0)</f>
        <v>0.46511627906976744</v>
      </c>
      <c r="L318" s="5">
        <v>0.2</v>
      </c>
      <c r="M318" s="5">
        <v>0.7</v>
      </c>
      <c r="N318" s="6">
        <f>IFERROR(database_24_25!$L318/database_24_25!$M318,0)</f>
        <v>0.28571428571428575</v>
      </c>
      <c r="O318" s="5">
        <v>1.8</v>
      </c>
      <c r="P318" s="5">
        <f>database_24_25!$Q318/10</f>
        <v>3.6</v>
      </c>
      <c r="Q318" s="5">
        <v>36</v>
      </c>
      <c r="R318" s="6">
        <f>IFERROR(database_24_25!$O318/database_24_25!$P318,0)</f>
        <v>0.5</v>
      </c>
      <c r="S318" s="5">
        <v>1</v>
      </c>
      <c r="T318" s="5">
        <v>1.4</v>
      </c>
      <c r="U318" s="6">
        <f>IFERROR(database_24_25!$S318/database_24_25!$T318,0)</f>
        <v>0.7142857142857143</v>
      </c>
      <c r="V318" s="5">
        <v>1.8</v>
      </c>
      <c r="W318" s="5">
        <v>2.5</v>
      </c>
      <c r="X318" s="5">
        <v>4.3</v>
      </c>
      <c r="Y318" s="5">
        <v>1.6</v>
      </c>
      <c r="Z318" s="5">
        <v>0.8</v>
      </c>
      <c r="AA318" s="5">
        <v>0.5</v>
      </c>
      <c r="AB318" s="5">
        <v>0.9</v>
      </c>
      <c r="AC318" s="5">
        <v>1.8</v>
      </c>
      <c r="AD318" s="5">
        <v>5.0999999999999996</v>
      </c>
    </row>
    <row r="319" spans="1:30" x14ac:dyDescent="0.25">
      <c r="A319" s="7">
        <v>3190</v>
      </c>
      <c r="B319" s="7" t="s">
        <v>381</v>
      </c>
      <c r="C319" s="7">
        <v>23</v>
      </c>
      <c r="D319" s="7" t="s">
        <v>70</v>
      </c>
      <c r="E319" s="7" t="s">
        <v>58</v>
      </c>
      <c r="F319" s="7">
        <v>19</v>
      </c>
      <c r="G319" s="7">
        <v>0</v>
      </c>
      <c r="H319" s="7">
        <v>15.4</v>
      </c>
      <c r="I319" s="7">
        <v>1.8</v>
      </c>
      <c r="J319" s="7">
        <v>3.7</v>
      </c>
      <c r="K319" s="6">
        <f>IFERROR(database_24_25!$I319/database_24_25!$J319,0)</f>
        <v>0.48648648648648646</v>
      </c>
      <c r="L319" s="7">
        <v>0.6</v>
      </c>
      <c r="M319" s="7">
        <v>1.7</v>
      </c>
      <c r="N319" s="6">
        <f>IFERROR(database_24_25!$L319/database_24_25!$M319,0)</f>
        <v>0.35294117647058826</v>
      </c>
      <c r="O319" s="7">
        <v>1.3</v>
      </c>
      <c r="P319" s="5">
        <f>database_24_25!$Q319/10</f>
        <v>2.1</v>
      </c>
      <c r="Q319" s="7">
        <v>21</v>
      </c>
      <c r="R319" s="6">
        <f>IFERROR(database_24_25!$O319/database_24_25!$P319,0)</f>
        <v>0.61904761904761907</v>
      </c>
      <c r="S319" s="7">
        <v>0.8</v>
      </c>
      <c r="T319" s="7">
        <v>1.3</v>
      </c>
      <c r="U319" s="6">
        <f>IFERROR(database_24_25!$S319/database_24_25!$T319,0)</f>
        <v>0.61538461538461542</v>
      </c>
      <c r="V319" s="7">
        <v>0.5</v>
      </c>
      <c r="W319" s="7">
        <v>1.2</v>
      </c>
      <c r="X319" s="7">
        <v>1.7</v>
      </c>
      <c r="Y319" s="7">
        <v>1.3</v>
      </c>
      <c r="Z319" s="7">
        <v>0.5</v>
      </c>
      <c r="AA319" s="7">
        <v>0</v>
      </c>
      <c r="AB319" s="7">
        <v>0.5</v>
      </c>
      <c r="AC319" s="7">
        <v>2.2000000000000002</v>
      </c>
      <c r="AD319" s="7">
        <v>5.0999999999999996</v>
      </c>
    </row>
    <row r="320" spans="1:30" x14ac:dyDescent="0.25">
      <c r="A320" s="7">
        <v>3160</v>
      </c>
      <c r="B320" s="7" t="s">
        <v>378</v>
      </c>
      <c r="C320" s="7">
        <v>31</v>
      </c>
      <c r="D320" s="7" t="s">
        <v>86</v>
      </c>
      <c r="E320" s="7" t="s">
        <v>27</v>
      </c>
      <c r="F320" s="7">
        <v>27</v>
      </c>
      <c r="G320" s="7">
        <v>2</v>
      </c>
      <c r="H320" s="7">
        <v>14.3</v>
      </c>
      <c r="I320" s="7">
        <v>2</v>
      </c>
      <c r="J320" s="7">
        <v>4.7</v>
      </c>
      <c r="K320" s="6">
        <f>IFERROR(database_24_25!$I320/database_24_25!$J320,0)</f>
        <v>0.42553191489361702</v>
      </c>
      <c r="L320" s="7">
        <v>0.6</v>
      </c>
      <c r="M320" s="7">
        <v>1.6</v>
      </c>
      <c r="N320" s="6">
        <f>IFERROR(database_24_25!$L320/database_24_25!$M320,0)</f>
        <v>0.37499999999999994</v>
      </c>
      <c r="O320" s="7">
        <v>1.4</v>
      </c>
      <c r="P320" s="5">
        <f>database_24_25!$Q320/10</f>
        <v>3.1</v>
      </c>
      <c r="Q320" s="7">
        <v>31</v>
      </c>
      <c r="R320" s="6">
        <f>IFERROR(database_24_25!$O320/database_24_25!$P320,0)</f>
        <v>0.45161290322580638</v>
      </c>
      <c r="S320" s="7">
        <v>0.6</v>
      </c>
      <c r="T320" s="7">
        <v>0.9</v>
      </c>
      <c r="U320" s="6">
        <f>IFERROR(database_24_25!$S320/database_24_25!$T320,0)</f>
        <v>0.66666666666666663</v>
      </c>
      <c r="V320" s="7">
        <v>0.6</v>
      </c>
      <c r="W320" s="7">
        <v>2.2999999999999998</v>
      </c>
      <c r="X320" s="7">
        <v>2.9</v>
      </c>
      <c r="Y320" s="7">
        <v>2.1</v>
      </c>
      <c r="Z320" s="7">
        <v>0.7</v>
      </c>
      <c r="AA320" s="7">
        <v>0.4</v>
      </c>
      <c r="AB320" s="7">
        <v>0.5</v>
      </c>
      <c r="AC320" s="7">
        <v>1</v>
      </c>
      <c r="AD320" s="7">
        <v>5.0999999999999996</v>
      </c>
    </row>
    <row r="321" spans="1:30" x14ac:dyDescent="0.25">
      <c r="A321" s="5">
        <v>3180</v>
      </c>
      <c r="B321" s="5" t="s">
        <v>380</v>
      </c>
      <c r="C321" s="5">
        <v>20</v>
      </c>
      <c r="D321" s="5" t="s">
        <v>90</v>
      </c>
      <c r="E321" s="5" t="s">
        <v>65</v>
      </c>
      <c r="F321" s="5">
        <v>32</v>
      </c>
      <c r="G321" s="5">
        <v>0</v>
      </c>
      <c r="H321" s="5">
        <v>13.1</v>
      </c>
      <c r="I321" s="5">
        <v>1.8</v>
      </c>
      <c r="J321" s="5">
        <v>4.9000000000000004</v>
      </c>
      <c r="K321" s="6">
        <f>IFERROR(database_24_25!$I321/database_24_25!$J321,0)</f>
        <v>0.36734693877551017</v>
      </c>
      <c r="L321" s="5">
        <v>0.8</v>
      </c>
      <c r="M321" s="5">
        <v>2.4</v>
      </c>
      <c r="N321" s="6">
        <f>IFERROR(database_24_25!$L321/database_24_25!$M321,0)</f>
        <v>0.33333333333333337</v>
      </c>
      <c r="O321" s="5">
        <v>1</v>
      </c>
      <c r="P321" s="5">
        <f>database_24_25!$Q321/10</f>
        <v>2.4</v>
      </c>
      <c r="Q321" s="5">
        <v>24</v>
      </c>
      <c r="R321" s="6">
        <f>IFERROR(database_24_25!$O321/database_24_25!$P321,0)</f>
        <v>0.41666666666666669</v>
      </c>
      <c r="S321" s="5">
        <v>0.7</v>
      </c>
      <c r="T321" s="5">
        <v>0.9</v>
      </c>
      <c r="U321" s="6">
        <f>IFERROR(database_24_25!$S321/database_24_25!$T321,0)</f>
        <v>0.77777777777777768</v>
      </c>
      <c r="V321" s="5">
        <v>0.6</v>
      </c>
      <c r="W321" s="5">
        <v>2.1</v>
      </c>
      <c r="X321" s="5">
        <v>2.7</v>
      </c>
      <c r="Y321" s="5">
        <v>0.5</v>
      </c>
      <c r="Z321" s="5">
        <v>0.3</v>
      </c>
      <c r="AA321" s="5">
        <v>0.8</v>
      </c>
      <c r="AB321" s="5">
        <v>0.6</v>
      </c>
      <c r="AC321" s="5">
        <v>1.4</v>
      </c>
      <c r="AD321" s="5">
        <v>5.0999999999999996</v>
      </c>
    </row>
    <row r="322" spans="1:30" x14ac:dyDescent="0.25">
      <c r="A322" s="5">
        <v>3230</v>
      </c>
      <c r="B322" s="5" t="s">
        <v>385</v>
      </c>
      <c r="C322" s="5">
        <v>22</v>
      </c>
      <c r="D322" s="5" t="s">
        <v>77</v>
      </c>
      <c r="E322" s="5" t="s">
        <v>32</v>
      </c>
      <c r="F322" s="5">
        <v>31</v>
      </c>
      <c r="G322" s="5">
        <v>0</v>
      </c>
      <c r="H322" s="5">
        <v>15.8</v>
      </c>
      <c r="I322" s="5">
        <v>2</v>
      </c>
      <c r="J322" s="5">
        <v>4.9000000000000004</v>
      </c>
      <c r="K322" s="6">
        <f>IFERROR(database_24_25!$I322/database_24_25!$J322,0)</f>
        <v>0.4081632653061224</v>
      </c>
      <c r="L322" s="5">
        <v>0.6</v>
      </c>
      <c r="M322" s="5">
        <v>2.1</v>
      </c>
      <c r="N322" s="6">
        <f>IFERROR(database_24_25!$L322/database_24_25!$M322,0)</f>
        <v>0.2857142857142857</v>
      </c>
      <c r="O322" s="5">
        <v>1.4</v>
      </c>
      <c r="P322" s="5">
        <f>database_24_25!$Q322/10</f>
        <v>2.8</v>
      </c>
      <c r="Q322" s="5">
        <v>28</v>
      </c>
      <c r="R322" s="6">
        <f>IFERROR(database_24_25!$O322/database_24_25!$P322,0)</f>
        <v>0.5</v>
      </c>
      <c r="S322" s="5">
        <v>0.3</v>
      </c>
      <c r="T322" s="5">
        <v>0.5</v>
      </c>
      <c r="U322" s="6">
        <f>IFERROR(database_24_25!$S322/database_24_25!$T322,0)</f>
        <v>0.6</v>
      </c>
      <c r="V322" s="5">
        <v>0.2</v>
      </c>
      <c r="W322" s="5">
        <v>0.9</v>
      </c>
      <c r="X322" s="5">
        <v>1.2</v>
      </c>
      <c r="Y322" s="5">
        <v>3.4</v>
      </c>
      <c r="Z322" s="5">
        <v>0.6</v>
      </c>
      <c r="AA322" s="5">
        <v>0.1</v>
      </c>
      <c r="AB322" s="5">
        <v>1.5</v>
      </c>
      <c r="AC322" s="5">
        <v>1.7</v>
      </c>
      <c r="AD322" s="5">
        <v>5</v>
      </c>
    </row>
    <row r="323" spans="1:30" x14ac:dyDescent="0.25">
      <c r="A323" s="7">
        <v>3210</v>
      </c>
      <c r="B323" s="7" t="s">
        <v>383</v>
      </c>
      <c r="C323" s="7">
        <v>19</v>
      </c>
      <c r="D323" s="7" t="s">
        <v>75</v>
      </c>
      <c r="E323" s="7" t="s">
        <v>58</v>
      </c>
      <c r="F323" s="7">
        <v>1</v>
      </c>
      <c r="G323" s="7">
        <v>0</v>
      </c>
      <c r="H323" s="7">
        <v>18</v>
      </c>
      <c r="I323" s="7">
        <v>2</v>
      </c>
      <c r="J323" s="7">
        <v>7</v>
      </c>
      <c r="K323" s="6">
        <f>IFERROR(database_24_25!$I323/database_24_25!$J323,0)</f>
        <v>0.2857142857142857</v>
      </c>
      <c r="L323" s="7">
        <v>1</v>
      </c>
      <c r="M323" s="7">
        <v>4</v>
      </c>
      <c r="N323" s="6">
        <f>IFERROR(database_24_25!$L323/database_24_25!$M323,0)</f>
        <v>0.25</v>
      </c>
      <c r="O323" s="7">
        <v>1</v>
      </c>
      <c r="P323" s="5">
        <f>database_24_25!$Q323/10</f>
        <v>3</v>
      </c>
      <c r="Q323" s="7">
        <v>30</v>
      </c>
      <c r="R323" s="6">
        <f>IFERROR(database_24_25!$O323/database_24_25!$P323,0)</f>
        <v>0.33333333333333331</v>
      </c>
      <c r="S323" s="7">
        <v>0</v>
      </c>
      <c r="T323" s="7">
        <v>0</v>
      </c>
      <c r="U323" s="6">
        <f>IFERROR(database_24_25!$S323/database_24_25!$T323,0)</f>
        <v>0</v>
      </c>
      <c r="V323" s="7">
        <v>1</v>
      </c>
      <c r="W323" s="7">
        <v>2</v>
      </c>
      <c r="X323" s="7">
        <v>3</v>
      </c>
      <c r="Y323" s="7">
        <v>0</v>
      </c>
      <c r="Z323" s="7">
        <v>2</v>
      </c>
      <c r="AA323" s="7">
        <v>0</v>
      </c>
      <c r="AB323" s="7">
        <v>1</v>
      </c>
      <c r="AC323" s="7">
        <v>0</v>
      </c>
      <c r="AD323" s="7">
        <v>5</v>
      </c>
    </row>
    <row r="324" spans="1:30" x14ac:dyDescent="0.25">
      <c r="A324" s="5">
        <v>3240</v>
      </c>
      <c r="B324" s="5" t="s">
        <v>386</v>
      </c>
      <c r="C324" s="5">
        <v>25</v>
      </c>
      <c r="D324" s="5" t="s">
        <v>73</v>
      </c>
      <c r="E324" s="5" t="s">
        <v>58</v>
      </c>
      <c r="F324" s="5">
        <v>1</v>
      </c>
      <c r="G324" s="5">
        <v>0</v>
      </c>
      <c r="H324" s="5">
        <v>4</v>
      </c>
      <c r="I324" s="5">
        <v>2</v>
      </c>
      <c r="J324" s="5">
        <v>2</v>
      </c>
      <c r="K324" s="6">
        <f>IFERROR(database_24_25!$I324/database_24_25!$J324,0)</f>
        <v>1</v>
      </c>
      <c r="L324" s="5">
        <v>1</v>
      </c>
      <c r="M324" s="5">
        <v>1</v>
      </c>
      <c r="N324" s="6">
        <f>IFERROR(database_24_25!$L324/database_24_25!$M324,0)</f>
        <v>1</v>
      </c>
      <c r="O324" s="5">
        <v>1</v>
      </c>
      <c r="P324" s="5">
        <f>database_24_25!$Q324/10</f>
        <v>1</v>
      </c>
      <c r="Q324" s="5">
        <v>10</v>
      </c>
      <c r="R324" s="6">
        <f>IFERROR(database_24_25!$O324/database_24_25!$P324,0)</f>
        <v>1</v>
      </c>
      <c r="S324" s="5">
        <v>0</v>
      </c>
      <c r="T324" s="5">
        <v>0</v>
      </c>
      <c r="U324" s="6">
        <f>IFERROR(database_24_25!$S324/database_24_25!$T324,0)</f>
        <v>0</v>
      </c>
      <c r="V324" s="5">
        <v>0</v>
      </c>
      <c r="W324" s="5">
        <v>0</v>
      </c>
      <c r="X324" s="5">
        <v>0</v>
      </c>
      <c r="Y324" s="5">
        <v>1</v>
      </c>
      <c r="Z324" s="5">
        <v>0</v>
      </c>
      <c r="AA324" s="5">
        <v>0</v>
      </c>
      <c r="AB324" s="5">
        <v>0</v>
      </c>
      <c r="AC324" s="5">
        <v>0</v>
      </c>
      <c r="AD324" s="5">
        <v>5</v>
      </c>
    </row>
    <row r="325" spans="1:30" x14ac:dyDescent="0.25">
      <c r="A325" s="7">
        <v>3220</v>
      </c>
      <c r="B325" s="7" t="s">
        <v>384</v>
      </c>
      <c r="C325" s="7">
        <v>19</v>
      </c>
      <c r="D325" s="7" t="s">
        <v>37</v>
      </c>
      <c r="E325" s="7" t="s">
        <v>27</v>
      </c>
      <c r="F325" s="7">
        <v>29</v>
      </c>
      <c r="G325" s="7">
        <v>8</v>
      </c>
      <c r="H325" s="7">
        <v>19.2</v>
      </c>
      <c r="I325" s="7">
        <v>1.7</v>
      </c>
      <c r="J325" s="7">
        <v>5.3</v>
      </c>
      <c r="K325" s="6">
        <f>IFERROR(database_24_25!$I325/database_24_25!$J325,0)</f>
        <v>0.32075471698113206</v>
      </c>
      <c r="L325" s="7">
        <v>1</v>
      </c>
      <c r="M325" s="7">
        <v>3.3</v>
      </c>
      <c r="N325" s="6">
        <f>IFERROR(database_24_25!$L325/database_24_25!$M325,0)</f>
        <v>0.30303030303030304</v>
      </c>
      <c r="O325" s="7">
        <v>0.8</v>
      </c>
      <c r="P325" s="5">
        <f>database_24_25!$Q325/10</f>
        <v>2</v>
      </c>
      <c r="Q325" s="7">
        <v>20</v>
      </c>
      <c r="R325" s="6">
        <f>IFERROR(database_24_25!$O325/database_24_25!$P325,0)</f>
        <v>0.4</v>
      </c>
      <c r="S325" s="7">
        <v>0.6</v>
      </c>
      <c r="T325" s="7">
        <v>0.9</v>
      </c>
      <c r="U325" s="6">
        <f>IFERROR(database_24_25!$S325/database_24_25!$T325,0)</f>
        <v>0.66666666666666663</v>
      </c>
      <c r="V325" s="7">
        <v>1</v>
      </c>
      <c r="W325" s="7">
        <v>3.2</v>
      </c>
      <c r="X325" s="7">
        <v>4.2</v>
      </c>
      <c r="Y325" s="7">
        <v>1.1000000000000001</v>
      </c>
      <c r="Z325" s="7">
        <v>0.6</v>
      </c>
      <c r="AA325" s="7">
        <v>0.2</v>
      </c>
      <c r="AB325" s="7">
        <v>0.8</v>
      </c>
      <c r="AC325" s="7">
        <v>1.4</v>
      </c>
      <c r="AD325" s="7">
        <v>5</v>
      </c>
    </row>
    <row r="326" spans="1:30" x14ac:dyDescent="0.25">
      <c r="A326" s="7">
        <v>3250</v>
      </c>
      <c r="B326" s="7" t="s">
        <v>387</v>
      </c>
      <c r="C326" s="7">
        <v>25</v>
      </c>
      <c r="D326" s="7" t="s">
        <v>94</v>
      </c>
      <c r="E326" s="7" t="s">
        <v>35</v>
      </c>
      <c r="F326" s="7">
        <v>19</v>
      </c>
      <c r="G326" s="7">
        <v>1</v>
      </c>
      <c r="H326" s="7">
        <v>8.6999999999999993</v>
      </c>
      <c r="I326" s="7">
        <v>2</v>
      </c>
      <c r="J326" s="7">
        <v>3.7</v>
      </c>
      <c r="K326" s="6">
        <f>IFERROR(database_24_25!$I326/database_24_25!$J326,0)</f>
        <v>0.54054054054054046</v>
      </c>
      <c r="L326" s="7">
        <v>0.1</v>
      </c>
      <c r="M326" s="7">
        <v>0.5</v>
      </c>
      <c r="N326" s="6">
        <f>IFERROR(database_24_25!$L326/database_24_25!$M326,0)</f>
        <v>0.2</v>
      </c>
      <c r="O326" s="7">
        <v>1.9</v>
      </c>
      <c r="P326" s="5">
        <f>database_24_25!$Q326/10</f>
        <v>3.2</v>
      </c>
      <c r="Q326" s="7">
        <v>32</v>
      </c>
      <c r="R326" s="6">
        <f>IFERROR(database_24_25!$O326/database_24_25!$P326,0)</f>
        <v>0.59374999999999989</v>
      </c>
      <c r="S326" s="7">
        <v>0.8</v>
      </c>
      <c r="T326" s="7">
        <v>1.2</v>
      </c>
      <c r="U326" s="6">
        <f>IFERROR(database_24_25!$S326/database_24_25!$T326,0)</f>
        <v>0.66666666666666674</v>
      </c>
      <c r="V326" s="7">
        <v>1.4</v>
      </c>
      <c r="W326" s="7">
        <v>1.5</v>
      </c>
      <c r="X326" s="7">
        <v>2.9</v>
      </c>
      <c r="Y326" s="7">
        <v>0.4</v>
      </c>
      <c r="Z326" s="7">
        <v>0.4</v>
      </c>
      <c r="AA326" s="7">
        <v>0.3</v>
      </c>
      <c r="AB326" s="7">
        <v>0.6</v>
      </c>
      <c r="AC326" s="7">
        <v>0.6</v>
      </c>
      <c r="AD326" s="7">
        <v>4.9000000000000004</v>
      </c>
    </row>
    <row r="327" spans="1:30" x14ac:dyDescent="0.25">
      <c r="A327" s="5">
        <v>3260</v>
      </c>
      <c r="B327" s="5" t="s">
        <v>388</v>
      </c>
      <c r="C327" s="5">
        <v>28</v>
      </c>
      <c r="D327" s="5" t="s">
        <v>86</v>
      </c>
      <c r="E327" s="5" t="s">
        <v>35</v>
      </c>
      <c r="F327" s="5">
        <v>29</v>
      </c>
      <c r="G327" s="5">
        <v>5</v>
      </c>
      <c r="H327" s="5">
        <v>15.5</v>
      </c>
      <c r="I327" s="5">
        <v>2.1</v>
      </c>
      <c r="J327" s="5">
        <v>4</v>
      </c>
      <c r="K327" s="6">
        <f>IFERROR(database_24_25!$I327/database_24_25!$J327,0)</f>
        <v>0.52500000000000002</v>
      </c>
      <c r="L327" s="5">
        <v>0</v>
      </c>
      <c r="M327" s="5">
        <v>0</v>
      </c>
      <c r="N327" s="6">
        <f>IFERROR(database_24_25!$L327/database_24_25!$M327,0)</f>
        <v>0</v>
      </c>
      <c r="O327" s="5">
        <v>2.1</v>
      </c>
      <c r="P327" s="5">
        <f>database_24_25!$Q327/10</f>
        <v>4</v>
      </c>
      <c r="Q327" s="5">
        <v>40</v>
      </c>
      <c r="R327" s="6">
        <f>IFERROR(database_24_25!$O327/database_24_25!$P327,0)</f>
        <v>0.52500000000000002</v>
      </c>
      <c r="S327" s="5">
        <v>0.6</v>
      </c>
      <c r="T327" s="5">
        <v>1.4</v>
      </c>
      <c r="U327" s="6">
        <f>IFERROR(database_24_25!$S327/database_24_25!$T327,0)</f>
        <v>0.4285714285714286</v>
      </c>
      <c r="V327" s="5">
        <v>3</v>
      </c>
      <c r="W327" s="5">
        <v>3.8</v>
      </c>
      <c r="X327" s="5">
        <v>6.8</v>
      </c>
      <c r="Y327" s="5">
        <v>1.7</v>
      </c>
      <c r="Z327" s="5">
        <v>0.7</v>
      </c>
      <c r="AA327" s="5">
        <v>0.2</v>
      </c>
      <c r="AB327" s="5">
        <v>0.6</v>
      </c>
      <c r="AC327" s="5">
        <v>2.2000000000000002</v>
      </c>
      <c r="AD327" s="5">
        <v>4.9000000000000004</v>
      </c>
    </row>
    <row r="328" spans="1:30" x14ac:dyDescent="0.25">
      <c r="A328" s="7">
        <v>3280</v>
      </c>
      <c r="B328" s="7" t="s">
        <v>390</v>
      </c>
      <c r="C328" s="7">
        <v>27</v>
      </c>
      <c r="D328" s="7" t="s">
        <v>114</v>
      </c>
      <c r="E328" s="7" t="s">
        <v>35</v>
      </c>
      <c r="F328" s="7">
        <v>24</v>
      </c>
      <c r="G328" s="7">
        <v>0</v>
      </c>
      <c r="H328" s="7">
        <v>13.3</v>
      </c>
      <c r="I328" s="7">
        <v>2</v>
      </c>
      <c r="J328" s="7">
        <v>3.2</v>
      </c>
      <c r="K328" s="6">
        <f>IFERROR(database_24_25!$I328/database_24_25!$J328,0)</f>
        <v>0.625</v>
      </c>
      <c r="L328" s="7">
        <v>0.1</v>
      </c>
      <c r="M328" s="7">
        <v>0.2</v>
      </c>
      <c r="N328" s="6">
        <f>IFERROR(database_24_25!$L328/database_24_25!$M328,0)</f>
        <v>0.5</v>
      </c>
      <c r="O328" s="7">
        <v>1.9</v>
      </c>
      <c r="P328" s="5">
        <f>database_24_25!$Q328/10</f>
        <v>3</v>
      </c>
      <c r="Q328" s="7">
        <v>30</v>
      </c>
      <c r="R328" s="6">
        <f>IFERROR(database_24_25!$O328/database_24_25!$P328,0)</f>
        <v>0.6333333333333333</v>
      </c>
      <c r="S328" s="7">
        <v>0.8</v>
      </c>
      <c r="T328" s="7">
        <v>1.3</v>
      </c>
      <c r="U328" s="6">
        <f>IFERROR(database_24_25!$S328/database_24_25!$T328,0)</f>
        <v>0.61538461538461542</v>
      </c>
      <c r="V328" s="7">
        <v>1.1000000000000001</v>
      </c>
      <c r="W328" s="7">
        <v>2.8</v>
      </c>
      <c r="X328" s="7">
        <v>3.8</v>
      </c>
      <c r="Y328" s="7">
        <v>1.1000000000000001</v>
      </c>
      <c r="Z328" s="7">
        <v>0.2</v>
      </c>
      <c r="AA328" s="7">
        <v>0.6</v>
      </c>
      <c r="AB328" s="7">
        <v>0.8</v>
      </c>
      <c r="AC328" s="7">
        <v>1.3</v>
      </c>
      <c r="AD328" s="7">
        <v>4.8</v>
      </c>
    </row>
    <row r="329" spans="1:30" x14ac:dyDescent="0.25">
      <c r="A329" s="5">
        <v>3270</v>
      </c>
      <c r="B329" s="5" t="s">
        <v>389</v>
      </c>
      <c r="C329" s="5">
        <v>24</v>
      </c>
      <c r="D329" s="5" t="s">
        <v>49</v>
      </c>
      <c r="E329" s="5" t="s">
        <v>35</v>
      </c>
      <c r="F329" s="5">
        <v>22</v>
      </c>
      <c r="G329" s="5">
        <v>0</v>
      </c>
      <c r="H329" s="5">
        <v>10.4</v>
      </c>
      <c r="I329" s="5">
        <v>2</v>
      </c>
      <c r="J329" s="5">
        <v>3.6</v>
      </c>
      <c r="K329" s="6">
        <f>IFERROR(database_24_25!$I329/database_24_25!$J329,0)</f>
        <v>0.55555555555555558</v>
      </c>
      <c r="L329" s="5">
        <v>0</v>
      </c>
      <c r="M329" s="5">
        <v>0</v>
      </c>
      <c r="N329" s="6">
        <f>IFERROR(database_24_25!$L329/database_24_25!$M329,0)</f>
        <v>0</v>
      </c>
      <c r="O329" s="5">
        <v>2</v>
      </c>
      <c r="P329" s="5">
        <f>database_24_25!$Q329/10</f>
        <v>3.6</v>
      </c>
      <c r="Q329" s="5">
        <v>36</v>
      </c>
      <c r="R329" s="6">
        <f>IFERROR(database_24_25!$O329/database_24_25!$P329,0)</f>
        <v>0.55555555555555558</v>
      </c>
      <c r="S329" s="5">
        <v>0.7</v>
      </c>
      <c r="T329" s="5">
        <v>1.1000000000000001</v>
      </c>
      <c r="U329" s="6">
        <f>IFERROR(database_24_25!$S329/database_24_25!$T329,0)</f>
        <v>0.63636363636363624</v>
      </c>
      <c r="V329" s="5">
        <v>1.5</v>
      </c>
      <c r="W329" s="5">
        <v>2.7</v>
      </c>
      <c r="X329" s="5">
        <v>4.2</v>
      </c>
      <c r="Y329" s="5">
        <v>0.5</v>
      </c>
      <c r="Z329" s="5">
        <v>0.3</v>
      </c>
      <c r="AA329" s="5">
        <v>1</v>
      </c>
      <c r="AB329" s="5">
        <v>0.7</v>
      </c>
      <c r="AC329" s="5">
        <v>1.4</v>
      </c>
      <c r="AD329" s="5">
        <v>4.8</v>
      </c>
    </row>
    <row r="330" spans="1:30" x14ac:dyDescent="0.25">
      <c r="A330" s="7">
        <v>3290</v>
      </c>
      <c r="B330" s="7" t="s">
        <v>391</v>
      </c>
      <c r="C330" s="7">
        <v>21</v>
      </c>
      <c r="D330" s="7" t="s">
        <v>114</v>
      </c>
      <c r="E330" s="7" t="s">
        <v>27</v>
      </c>
      <c r="F330" s="7">
        <v>3</v>
      </c>
      <c r="G330" s="7">
        <v>3</v>
      </c>
      <c r="H330" s="7">
        <v>25</v>
      </c>
      <c r="I330" s="7">
        <v>1.3</v>
      </c>
      <c r="J330" s="7">
        <v>6</v>
      </c>
      <c r="K330" s="6">
        <f>IFERROR(database_24_25!$I330/database_24_25!$J330,0)</f>
        <v>0.21666666666666667</v>
      </c>
      <c r="L330" s="7">
        <v>1</v>
      </c>
      <c r="M330" s="7">
        <v>4</v>
      </c>
      <c r="N330" s="6">
        <f>IFERROR(database_24_25!$L330/database_24_25!$M330,0)</f>
        <v>0.25</v>
      </c>
      <c r="O330" s="7">
        <v>0.3</v>
      </c>
      <c r="P330" s="5">
        <f>database_24_25!$Q330/10</f>
        <v>2</v>
      </c>
      <c r="Q330" s="7">
        <v>20</v>
      </c>
      <c r="R330" s="6">
        <f>IFERROR(database_24_25!$O330/database_24_25!$P330,0)</f>
        <v>0.15</v>
      </c>
      <c r="S330" s="7">
        <v>1</v>
      </c>
      <c r="T330" s="7">
        <v>1.3</v>
      </c>
      <c r="U330" s="6">
        <f>IFERROR(database_24_25!$S330/database_24_25!$T330,0)</f>
        <v>0.76923076923076916</v>
      </c>
      <c r="V330" s="7">
        <v>1.7</v>
      </c>
      <c r="W330" s="7">
        <v>3.3</v>
      </c>
      <c r="X330" s="7">
        <v>5</v>
      </c>
      <c r="Y330" s="7">
        <v>0.7</v>
      </c>
      <c r="Z330" s="7">
        <v>1.7</v>
      </c>
      <c r="AA330" s="7">
        <v>1.3</v>
      </c>
      <c r="AB330" s="7">
        <v>0.7</v>
      </c>
      <c r="AC330" s="7">
        <v>2.7</v>
      </c>
      <c r="AD330" s="7">
        <v>4.7</v>
      </c>
    </row>
    <row r="331" spans="1:30" x14ac:dyDescent="0.25">
      <c r="A331" s="5">
        <v>3320</v>
      </c>
      <c r="B331" s="5" t="s">
        <v>394</v>
      </c>
      <c r="C331" s="5">
        <v>22</v>
      </c>
      <c r="D331" s="5" t="s">
        <v>79</v>
      </c>
      <c r="E331" s="5" t="s">
        <v>27</v>
      </c>
      <c r="F331" s="5">
        <v>6</v>
      </c>
      <c r="G331" s="5">
        <v>0</v>
      </c>
      <c r="H331" s="5">
        <v>5</v>
      </c>
      <c r="I331" s="5">
        <v>1.5</v>
      </c>
      <c r="J331" s="5">
        <v>2</v>
      </c>
      <c r="K331" s="6">
        <f>IFERROR(database_24_25!$I331/database_24_25!$J331,0)</f>
        <v>0.75</v>
      </c>
      <c r="L331" s="5">
        <v>0.5</v>
      </c>
      <c r="M331" s="5">
        <v>0.7</v>
      </c>
      <c r="N331" s="6">
        <f>IFERROR(database_24_25!$L331/database_24_25!$M331,0)</f>
        <v>0.7142857142857143</v>
      </c>
      <c r="O331" s="5">
        <v>1</v>
      </c>
      <c r="P331" s="5">
        <f>database_24_25!$Q331/10</f>
        <v>1.3</v>
      </c>
      <c r="Q331" s="5">
        <v>13</v>
      </c>
      <c r="R331" s="6">
        <f>IFERROR(database_24_25!$O331/database_24_25!$P331,0)</f>
        <v>0.76923076923076916</v>
      </c>
      <c r="S331" s="5">
        <v>1.2</v>
      </c>
      <c r="T331" s="5">
        <v>1.3</v>
      </c>
      <c r="U331" s="6">
        <f>IFERROR(database_24_25!$S331/database_24_25!$T331,0)</f>
        <v>0.92307692307692302</v>
      </c>
      <c r="V331" s="5">
        <v>0.5</v>
      </c>
      <c r="W331" s="5">
        <v>0.5</v>
      </c>
      <c r="X331" s="5">
        <v>1</v>
      </c>
      <c r="Y331" s="5">
        <v>0</v>
      </c>
      <c r="Z331" s="5">
        <v>0.3</v>
      </c>
      <c r="AA331" s="5">
        <v>0.5</v>
      </c>
      <c r="AB331" s="5">
        <v>0.5</v>
      </c>
      <c r="AC331" s="5">
        <v>0.7</v>
      </c>
      <c r="AD331" s="5">
        <v>4.7</v>
      </c>
    </row>
    <row r="332" spans="1:30" x14ac:dyDescent="0.25">
      <c r="A332" s="5">
        <v>3300</v>
      </c>
      <c r="B332" s="5" t="s">
        <v>392</v>
      </c>
      <c r="C332" s="5">
        <v>29</v>
      </c>
      <c r="D332" s="5" t="s">
        <v>41</v>
      </c>
      <c r="E332" s="5" t="s">
        <v>35</v>
      </c>
      <c r="F332" s="5">
        <v>29</v>
      </c>
      <c r="G332" s="5">
        <v>3</v>
      </c>
      <c r="H332" s="5">
        <v>16.8</v>
      </c>
      <c r="I332" s="5">
        <v>1.8</v>
      </c>
      <c r="J332" s="5">
        <v>2.9</v>
      </c>
      <c r="K332" s="6">
        <f>IFERROR(database_24_25!$I332/database_24_25!$J332,0)</f>
        <v>0.62068965517241381</v>
      </c>
      <c r="L332" s="5">
        <v>0</v>
      </c>
      <c r="M332" s="5">
        <v>0</v>
      </c>
      <c r="N332" s="6">
        <f>IFERROR(database_24_25!$L332/database_24_25!$M332,0)</f>
        <v>0</v>
      </c>
      <c r="O332" s="5">
        <v>1.8</v>
      </c>
      <c r="P332" s="5">
        <f>database_24_25!$Q332/10</f>
        <v>2.9</v>
      </c>
      <c r="Q332" s="5">
        <v>29</v>
      </c>
      <c r="R332" s="6">
        <f>IFERROR(database_24_25!$O332/database_24_25!$P332,0)</f>
        <v>0.62068965517241381</v>
      </c>
      <c r="S332" s="5">
        <v>1.1000000000000001</v>
      </c>
      <c r="T332" s="5">
        <v>1.5</v>
      </c>
      <c r="U332" s="6">
        <f>IFERROR(database_24_25!$S332/database_24_25!$T332,0)</f>
        <v>0.73333333333333339</v>
      </c>
      <c r="V332" s="5">
        <v>2.2000000000000002</v>
      </c>
      <c r="W332" s="5">
        <v>3</v>
      </c>
      <c r="X332" s="5">
        <v>5.0999999999999996</v>
      </c>
      <c r="Y332" s="5">
        <v>1.6</v>
      </c>
      <c r="Z332" s="5">
        <v>0.5</v>
      </c>
      <c r="AA332" s="5">
        <v>1</v>
      </c>
      <c r="AB332" s="5">
        <v>0.4</v>
      </c>
      <c r="AC332" s="5">
        <v>1.2</v>
      </c>
      <c r="AD332" s="5">
        <v>4.7</v>
      </c>
    </row>
    <row r="333" spans="1:30" x14ac:dyDescent="0.25">
      <c r="A333" s="7">
        <v>3330</v>
      </c>
      <c r="B333" s="7" t="s">
        <v>395</v>
      </c>
      <c r="C333" s="7">
        <v>25</v>
      </c>
      <c r="D333" s="7" t="s">
        <v>84</v>
      </c>
      <c r="E333" s="7" t="s">
        <v>32</v>
      </c>
      <c r="F333" s="7">
        <v>16</v>
      </c>
      <c r="G333" s="7">
        <v>1</v>
      </c>
      <c r="H333" s="7">
        <v>15.5</v>
      </c>
      <c r="I333" s="7">
        <v>1.8</v>
      </c>
      <c r="J333" s="7">
        <v>4.4000000000000004</v>
      </c>
      <c r="K333" s="6">
        <f>IFERROR(database_24_25!$I333/database_24_25!$J333,0)</f>
        <v>0.40909090909090906</v>
      </c>
      <c r="L333" s="7">
        <v>0.8</v>
      </c>
      <c r="M333" s="7">
        <v>2.2999999999999998</v>
      </c>
      <c r="N333" s="6">
        <f>IFERROR(database_24_25!$L333/database_24_25!$M333,0)</f>
        <v>0.34782608695652178</v>
      </c>
      <c r="O333" s="7">
        <v>1</v>
      </c>
      <c r="P333" s="5">
        <f>database_24_25!$Q333/10</f>
        <v>2.1</v>
      </c>
      <c r="Q333" s="7">
        <v>21</v>
      </c>
      <c r="R333" s="6">
        <f>IFERROR(database_24_25!$O333/database_24_25!$P333,0)</f>
        <v>0.47619047619047616</v>
      </c>
      <c r="S333" s="7">
        <v>0.3</v>
      </c>
      <c r="T333" s="7">
        <v>0.3</v>
      </c>
      <c r="U333" s="6">
        <f>IFERROR(database_24_25!$S333/database_24_25!$T333,0)</f>
        <v>1</v>
      </c>
      <c r="V333" s="7">
        <v>0.1</v>
      </c>
      <c r="W333" s="7">
        <v>1.3</v>
      </c>
      <c r="X333" s="7">
        <v>1.4</v>
      </c>
      <c r="Y333" s="7">
        <v>1.9</v>
      </c>
      <c r="Z333" s="7">
        <v>0.8</v>
      </c>
      <c r="AA333" s="7">
        <v>0.4</v>
      </c>
      <c r="AB333" s="7">
        <v>1.1000000000000001</v>
      </c>
      <c r="AC333" s="7">
        <v>0.9</v>
      </c>
      <c r="AD333" s="7">
        <v>4.7</v>
      </c>
    </row>
    <row r="334" spans="1:30" x14ac:dyDescent="0.25">
      <c r="A334" s="7">
        <v>3310</v>
      </c>
      <c r="B334" s="7" t="s">
        <v>393</v>
      </c>
      <c r="C334" s="7">
        <v>23</v>
      </c>
      <c r="D334" s="7" t="s">
        <v>84</v>
      </c>
      <c r="E334" s="7" t="s">
        <v>27</v>
      </c>
      <c r="F334" s="7">
        <v>19</v>
      </c>
      <c r="G334" s="7">
        <v>1</v>
      </c>
      <c r="H334" s="7">
        <v>12.8</v>
      </c>
      <c r="I334" s="7">
        <v>1.7</v>
      </c>
      <c r="J334" s="7">
        <v>3.2</v>
      </c>
      <c r="K334" s="6">
        <f>IFERROR(database_24_25!$I334/database_24_25!$J334,0)</f>
        <v>0.53125</v>
      </c>
      <c r="L334" s="7">
        <v>0.7</v>
      </c>
      <c r="M334" s="7">
        <v>1.6</v>
      </c>
      <c r="N334" s="6">
        <f>IFERROR(database_24_25!$L334/database_24_25!$M334,0)</f>
        <v>0.43749999999999994</v>
      </c>
      <c r="O334" s="7">
        <v>1.1000000000000001</v>
      </c>
      <c r="P334" s="5">
        <f>database_24_25!$Q334/10</f>
        <v>1.6</v>
      </c>
      <c r="Q334" s="7">
        <v>16</v>
      </c>
      <c r="R334" s="6">
        <f>IFERROR(database_24_25!$O334/database_24_25!$P334,0)</f>
        <v>0.6875</v>
      </c>
      <c r="S334" s="7">
        <v>0.6</v>
      </c>
      <c r="T334" s="7">
        <v>0.7</v>
      </c>
      <c r="U334" s="6">
        <f>IFERROR(database_24_25!$S334/database_24_25!$T334,0)</f>
        <v>0.85714285714285721</v>
      </c>
      <c r="V334" s="7">
        <v>0.3</v>
      </c>
      <c r="W334" s="7">
        <v>2.1</v>
      </c>
      <c r="X334" s="7">
        <v>2.4</v>
      </c>
      <c r="Y334" s="7">
        <v>1.1000000000000001</v>
      </c>
      <c r="Z334" s="7">
        <v>0.4</v>
      </c>
      <c r="AA334" s="7">
        <v>0.2</v>
      </c>
      <c r="AB334" s="7">
        <v>0.9</v>
      </c>
      <c r="AC334" s="7">
        <v>0.6</v>
      </c>
      <c r="AD334" s="7">
        <v>4.7</v>
      </c>
    </row>
    <row r="335" spans="1:30" x14ac:dyDescent="0.25">
      <c r="A335" s="5">
        <v>3340</v>
      </c>
      <c r="B335" s="5" t="s">
        <v>396</v>
      </c>
      <c r="C335" s="5">
        <v>32</v>
      </c>
      <c r="D335" s="5" t="s">
        <v>29</v>
      </c>
      <c r="E335" s="5" t="s">
        <v>58</v>
      </c>
      <c r="F335" s="5">
        <v>17</v>
      </c>
      <c r="G335" s="5">
        <v>0</v>
      </c>
      <c r="H335" s="5">
        <v>16.399999999999999</v>
      </c>
      <c r="I335" s="5">
        <v>1.6</v>
      </c>
      <c r="J335" s="5">
        <v>4.4000000000000004</v>
      </c>
      <c r="K335" s="6">
        <f>IFERROR(database_24_25!$I335/database_24_25!$J335,0)</f>
        <v>0.36363636363636365</v>
      </c>
      <c r="L335" s="5">
        <v>0.8</v>
      </c>
      <c r="M335" s="5">
        <v>2.8</v>
      </c>
      <c r="N335" s="6">
        <f>IFERROR(database_24_25!$L335/database_24_25!$M335,0)</f>
        <v>0.28571428571428575</v>
      </c>
      <c r="O335" s="5">
        <v>0.8</v>
      </c>
      <c r="P335" s="5">
        <f>database_24_25!$Q335/10</f>
        <v>1.6</v>
      </c>
      <c r="Q335" s="5">
        <v>16</v>
      </c>
      <c r="R335" s="6">
        <f>IFERROR(database_24_25!$O335/database_24_25!$P335,0)</f>
        <v>0.5</v>
      </c>
      <c r="S335" s="5">
        <v>0.5</v>
      </c>
      <c r="T335" s="5">
        <v>0.7</v>
      </c>
      <c r="U335" s="6">
        <f>IFERROR(database_24_25!$S335/database_24_25!$T335,0)</f>
        <v>0.7142857142857143</v>
      </c>
      <c r="V335" s="5">
        <v>0.6</v>
      </c>
      <c r="W335" s="5">
        <v>2.4</v>
      </c>
      <c r="X335" s="5">
        <v>2.9</v>
      </c>
      <c r="Y335" s="5">
        <v>1.6</v>
      </c>
      <c r="Z335" s="5">
        <v>0.2</v>
      </c>
      <c r="AA335" s="5">
        <v>0.4</v>
      </c>
      <c r="AB335" s="5">
        <v>0.6</v>
      </c>
      <c r="AC335" s="5">
        <v>1.2</v>
      </c>
      <c r="AD335" s="5">
        <v>4.5999999999999996</v>
      </c>
    </row>
    <row r="336" spans="1:30" x14ac:dyDescent="0.25">
      <c r="A336" s="5">
        <v>3350</v>
      </c>
      <c r="B336" s="5" t="s">
        <v>397</v>
      </c>
      <c r="C336" s="5">
        <v>32</v>
      </c>
      <c r="D336" s="5" t="s">
        <v>86</v>
      </c>
      <c r="E336" s="5" t="s">
        <v>58</v>
      </c>
      <c r="F336" s="5">
        <v>28</v>
      </c>
      <c r="G336" s="5">
        <v>4</v>
      </c>
      <c r="H336" s="5">
        <v>13.1</v>
      </c>
      <c r="I336" s="5">
        <v>2.1</v>
      </c>
      <c r="J336" s="5">
        <v>3.8</v>
      </c>
      <c r="K336" s="6">
        <f>IFERROR(database_24_25!$I336/database_24_25!$J336,0)</f>
        <v>0.55263157894736847</v>
      </c>
      <c r="L336" s="5">
        <v>0.2</v>
      </c>
      <c r="M336" s="5">
        <v>1.1000000000000001</v>
      </c>
      <c r="N336" s="6">
        <f>IFERROR(database_24_25!$L336/database_24_25!$M336,0)</f>
        <v>0.18181818181818182</v>
      </c>
      <c r="O336" s="5">
        <v>1.9</v>
      </c>
      <c r="P336" s="5">
        <f>database_24_25!$Q336/10</f>
        <v>2.6</v>
      </c>
      <c r="Q336" s="5">
        <v>26</v>
      </c>
      <c r="R336" s="6">
        <f>IFERROR(database_24_25!$O336/database_24_25!$P336,0)</f>
        <v>0.73076923076923073</v>
      </c>
      <c r="S336" s="5">
        <v>0.3</v>
      </c>
      <c r="T336" s="5">
        <v>0.5</v>
      </c>
      <c r="U336" s="6">
        <f>IFERROR(database_24_25!$S336/database_24_25!$T336,0)</f>
        <v>0.6</v>
      </c>
      <c r="V336" s="5">
        <v>1.2</v>
      </c>
      <c r="W336" s="5">
        <v>1.6</v>
      </c>
      <c r="X336" s="5">
        <v>2.8</v>
      </c>
      <c r="Y336" s="5">
        <v>1.2</v>
      </c>
      <c r="Z336" s="5">
        <v>0.7</v>
      </c>
      <c r="AA336" s="5">
        <v>0.4</v>
      </c>
      <c r="AB336" s="5">
        <v>0.5</v>
      </c>
      <c r="AC336" s="5">
        <v>1.4</v>
      </c>
      <c r="AD336" s="5">
        <v>4.5999999999999996</v>
      </c>
    </row>
    <row r="337" spans="1:30" x14ac:dyDescent="0.25">
      <c r="A337" s="7">
        <v>3360</v>
      </c>
      <c r="B337" s="7" t="s">
        <v>398</v>
      </c>
      <c r="C337" s="7">
        <v>21</v>
      </c>
      <c r="D337" s="7" t="s">
        <v>90</v>
      </c>
      <c r="E337" s="7" t="s">
        <v>65</v>
      </c>
      <c r="F337" s="7">
        <v>33</v>
      </c>
      <c r="G337" s="7">
        <v>3</v>
      </c>
      <c r="H337" s="7">
        <v>13.7</v>
      </c>
      <c r="I337" s="7">
        <v>1.6</v>
      </c>
      <c r="J337" s="7">
        <v>3.8</v>
      </c>
      <c r="K337" s="6">
        <f>IFERROR(database_24_25!$I337/database_24_25!$J337,0)</f>
        <v>0.4210526315789474</v>
      </c>
      <c r="L337" s="7">
        <v>0.7</v>
      </c>
      <c r="M337" s="7">
        <v>2.2999999999999998</v>
      </c>
      <c r="N337" s="6">
        <f>IFERROR(database_24_25!$L337/database_24_25!$M337,0)</f>
        <v>0.30434782608695654</v>
      </c>
      <c r="O337" s="7">
        <v>0.9</v>
      </c>
      <c r="P337" s="5">
        <f>database_24_25!$Q337/10</f>
        <v>1.5</v>
      </c>
      <c r="Q337" s="7">
        <v>15</v>
      </c>
      <c r="R337" s="6">
        <f>IFERROR(database_24_25!$O337/database_24_25!$P337,0)</f>
        <v>0.6</v>
      </c>
      <c r="S337" s="7">
        <v>0.6</v>
      </c>
      <c r="T337" s="7">
        <v>0.9</v>
      </c>
      <c r="U337" s="6">
        <f>IFERROR(database_24_25!$S337/database_24_25!$T337,0)</f>
        <v>0.66666666666666663</v>
      </c>
      <c r="V337" s="7">
        <v>0.8</v>
      </c>
      <c r="W337" s="7">
        <v>1.2</v>
      </c>
      <c r="X337" s="7">
        <v>2</v>
      </c>
      <c r="Y337" s="7">
        <v>0.5</v>
      </c>
      <c r="Z337" s="7">
        <v>0.5</v>
      </c>
      <c r="AA337" s="7">
        <v>0.2</v>
      </c>
      <c r="AB337" s="7">
        <v>0.4</v>
      </c>
      <c r="AC337" s="7">
        <v>1.5</v>
      </c>
      <c r="AD337" s="7">
        <v>4.5999999999999996</v>
      </c>
    </row>
    <row r="338" spans="1:30" x14ac:dyDescent="0.25">
      <c r="A338" s="5">
        <v>3380</v>
      </c>
      <c r="B338" s="5" t="s">
        <v>400</v>
      </c>
      <c r="C338" s="5">
        <v>22</v>
      </c>
      <c r="D338" s="5" t="s">
        <v>37</v>
      </c>
      <c r="E338" s="5" t="s">
        <v>32</v>
      </c>
      <c r="F338" s="5">
        <v>11</v>
      </c>
      <c r="G338" s="5">
        <v>0</v>
      </c>
      <c r="H338" s="5">
        <v>14.5</v>
      </c>
      <c r="I338" s="5">
        <v>1.5</v>
      </c>
      <c r="J338" s="5">
        <v>5.2</v>
      </c>
      <c r="K338" s="6">
        <f>IFERROR(database_24_25!$I338/database_24_25!$J338,0)</f>
        <v>0.28846153846153844</v>
      </c>
      <c r="L338" s="5">
        <v>0.5</v>
      </c>
      <c r="M338" s="5">
        <v>2.5</v>
      </c>
      <c r="N338" s="6">
        <f>IFERROR(database_24_25!$L338/database_24_25!$M338,0)</f>
        <v>0.2</v>
      </c>
      <c r="O338" s="5">
        <v>1.1000000000000001</v>
      </c>
      <c r="P338" s="5">
        <f>database_24_25!$Q338/10</f>
        <v>2.6</v>
      </c>
      <c r="Q338" s="5">
        <v>26</v>
      </c>
      <c r="R338" s="6">
        <f>IFERROR(database_24_25!$O338/database_24_25!$P338,0)</f>
        <v>0.42307692307692307</v>
      </c>
      <c r="S338" s="5">
        <v>0.9</v>
      </c>
      <c r="T338" s="5">
        <v>1.4</v>
      </c>
      <c r="U338" s="6">
        <f>IFERROR(database_24_25!$S338/database_24_25!$T338,0)</f>
        <v>0.6428571428571429</v>
      </c>
      <c r="V338" s="5">
        <v>1</v>
      </c>
      <c r="W338" s="5">
        <v>0.8</v>
      </c>
      <c r="X338" s="5">
        <v>1.8</v>
      </c>
      <c r="Y338" s="5">
        <v>1.8</v>
      </c>
      <c r="Z338" s="5">
        <v>0.8</v>
      </c>
      <c r="AA338" s="5">
        <v>0.2</v>
      </c>
      <c r="AB338" s="5">
        <v>0.9</v>
      </c>
      <c r="AC338" s="5">
        <v>1.3</v>
      </c>
      <c r="AD338" s="5">
        <v>4.5</v>
      </c>
    </row>
    <row r="339" spans="1:30" x14ac:dyDescent="0.25">
      <c r="A339" s="7">
        <v>3370</v>
      </c>
      <c r="B339" s="7" t="s">
        <v>399</v>
      </c>
      <c r="C339" s="7">
        <v>20</v>
      </c>
      <c r="D339" s="7" t="s">
        <v>60</v>
      </c>
      <c r="E339" s="7" t="s">
        <v>65</v>
      </c>
      <c r="F339" s="7">
        <v>4</v>
      </c>
      <c r="G339" s="7">
        <v>0</v>
      </c>
      <c r="H339" s="7">
        <v>7</v>
      </c>
      <c r="I339" s="7">
        <v>1.5</v>
      </c>
      <c r="J339" s="7">
        <v>2.8</v>
      </c>
      <c r="K339" s="6">
        <f>IFERROR(database_24_25!$I339/database_24_25!$J339,0)</f>
        <v>0.5357142857142857</v>
      </c>
      <c r="L339" s="7">
        <v>1.5</v>
      </c>
      <c r="M339" s="7">
        <v>2.5</v>
      </c>
      <c r="N339" s="6">
        <f>IFERROR(database_24_25!$L339/database_24_25!$M339,0)</f>
        <v>0.6</v>
      </c>
      <c r="O339" s="7">
        <v>0</v>
      </c>
      <c r="P339" s="5">
        <f>database_24_25!$Q339/10</f>
        <v>0.3</v>
      </c>
      <c r="Q339" s="7">
        <v>3</v>
      </c>
      <c r="R339" s="6">
        <f>IFERROR(database_24_25!$O339/database_24_25!$P339,0)</f>
        <v>0</v>
      </c>
      <c r="S339" s="7">
        <v>0</v>
      </c>
      <c r="T339" s="7">
        <v>0</v>
      </c>
      <c r="U339" s="6">
        <f>IFERROR(database_24_25!$S339/database_24_25!$T339,0)</f>
        <v>0</v>
      </c>
      <c r="V339" s="7">
        <v>0</v>
      </c>
      <c r="W339" s="7">
        <v>0.8</v>
      </c>
      <c r="X339" s="7">
        <v>0.8</v>
      </c>
      <c r="Y339" s="7">
        <v>0.3</v>
      </c>
      <c r="Z339" s="7">
        <v>0.8</v>
      </c>
      <c r="AA339" s="7">
        <v>0.3</v>
      </c>
      <c r="AB339" s="7">
        <v>0.8</v>
      </c>
      <c r="AC339" s="7">
        <v>0.3</v>
      </c>
      <c r="AD339" s="7">
        <v>4.5</v>
      </c>
    </row>
    <row r="340" spans="1:30" x14ac:dyDescent="0.25">
      <c r="A340" s="5">
        <v>3400</v>
      </c>
      <c r="B340" s="5" t="s">
        <v>402</v>
      </c>
      <c r="C340" s="5">
        <v>25</v>
      </c>
      <c r="D340" s="5" t="s">
        <v>49</v>
      </c>
      <c r="E340" s="5" t="s">
        <v>27</v>
      </c>
      <c r="F340" s="5">
        <v>21</v>
      </c>
      <c r="G340" s="5">
        <v>0</v>
      </c>
      <c r="H340" s="5">
        <v>9.1999999999999993</v>
      </c>
      <c r="I340" s="5">
        <v>1.5</v>
      </c>
      <c r="J340" s="5">
        <v>2.8</v>
      </c>
      <c r="K340" s="6">
        <f>IFERROR(database_24_25!$I340/database_24_25!$J340,0)</f>
        <v>0.5357142857142857</v>
      </c>
      <c r="L340" s="5">
        <v>0.8</v>
      </c>
      <c r="M340" s="5">
        <v>1.9</v>
      </c>
      <c r="N340" s="6">
        <f>IFERROR(database_24_25!$L340/database_24_25!$M340,0)</f>
        <v>0.4210526315789474</v>
      </c>
      <c r="O340" s="5">
        <v>0.7</v>
      </c>
      <c r="P340" s="5">
        <f>database_24_25!$Q340/10</f>
        <v>0.9</v>
      </c>
      <c r="Q340" s="5">
        <v>9</v>
      </c>
      <c r="R340" s="6">
        <f>IFERROR(database_24_25!$O340/database_24_25!$P340,0)</f>
        <v>0.77777777777777768</v>
      </c>
      <c r="S340" s="5">
        <v>0.5</v>
      </c>
      <c r="T340" s="5">
        <v>0.7</v>
      </c>
      <c r="U340" s="6">
        <f>IFERROR(database_24_25!$S340/database_24_25!$T340,0)</f>
        <v>0.7142857142857143</v>
      </c>
      <c r="V340" s="5">
        <v>0.6</v>
      </c>
      <c r="W340" s="5">
        <v>2.2000000000000002</v>
      </c>
      <c r="X340" s="5">
        <v>2.8</v>
      </c>
      <c r="Y340" s="5">
        <v>0.4</v>
      </c>
      <c r="Z340" s="5">
        <v>0.1</v>
      </c>
      <c r="AA340" s="5">
        <v>0.3</v>
      </c>
      <c r="AB340" s="5">
        <v>0.4</v>
      </c>
      <c r="AC340" s="5">
        <v>0.6</v>
      </c>
      <c r="AD340" s="5">
        <v>4.4000000000000004</v>
      </c>
    </row>
    <row r="341" spans="1:30" x14ac:dyDescent="0.25">
      <c r="A341" s="5">
        <v>3430</v>
      </c>
      <c r="B341" s="5" t="s">
        <v>405</v>
      </c>
      <c r="C341" s="5">
        <v>22</v>
      </c>
      <c r="D341" s="5" t="s">
        <v>31</v>
      </c>
      <c r="E341" s="5" t="s">
        <v>27</v>
      </c>
      <c r="F341" s="5">
        <v>7</v>
      </c>
      <c r="G341" s="5">
        <v>0</v>
      </c>
      <c r="H341" s="5">
        <v>12.4</v>
      </c>
      <c r="I341" s="5">
        <v>1.6</v>
      </c>
      <c r="J341" s="5">
        <v>4.0999999999999996</v>
      </c>
      <c r="K341" s="6">
        <f>IFERROR(database_24_25!$I341/database_24_25!$J341,0)</f>
        <v>0.39024390243902446</v>
      </c>
      <c r="L341" s="5">
        <v>1.3</v>
      </c>
      <c r="M341" s="5">
        <v>3.7</v>
      </c>
      <c r="N341" s="6">
        <f>IFERROR(database_24_25!$L341/database_24_25!$M341,0)</f>
        <v>0.35135135135135137</v>
      </c>
      <c r="O341" s="5">
        <v>0.3</v>
      </c>
      <c r="P341" s="5">
        <f>database_24_25!$Q341/10</f>
        <v>0.4</v>
      </c>
      <c r="Q341" s="5">
        <v>4</v>
      </c>
      <c r="R341" s="6">
        <f>IFERROR(database_24_25!$O341/database_24_25!$P341,0)</f>
        <v>0.74999999999999989</v>
      </c>
      <c r="S341" s="5">
        <v>0</v>
      </c>
      <c r="T341" s="5">
        <v>0</v>
      </c>
      <c r="U341" s="6">
        <f>IFERROR(database_24_25!$S341/database_24_25!$T341,0)</f>
        <v>0</v>
      </c>
      <c r="V341" s="5">
        <v>0.6</v>
      </c>
      <c r="W341" s="5">
        <v>2.2999999999999998</v>
      </c>
      <c r="X341" s="5">
        <v>2.9</v>
      </c>
      <c r="Y341" s="5">
        <v>2</v>
      </c>
      <c r="Z341" s="5">
        <v>0.3</v>
      </c>
      <c r="AA341" s="5">
        <v>0.3</v>
      </c>
      <c r="AB341" s="5">
        <v>0.3</v>
      </c>
      <c r="AC341" s="5">
        <v>1.1000000000000001</v>
      </c>
      <c r="AD341" s="5">
        <v>4.4000000000000004</v>
      </c>
    </row>
    <row r="342" spans="1:30" x14ac:dyDescent="0.25">
      <c r="A342" s="7">
        <v>3410</v>
      </c>
      <c r="B342" s="7" t="s">
        <v>403</v>
      </c>
      <c r="C342" s="7">
        <v>24</v>
      </c>
      <c r="D342" s="7" t="s">
        <v>81</v>
      </c>
      <c r="E342" s="7" t="s">
        <v>58</v>
      </c>
      <c r="F342" s="7">
        <v>16</v>
      </c>
      <c r="G342" s="7">
        <v>0</v>
      </c>
      <c r="H342" s="7">
        <v>9.3000000000000007</v>
      </c>
      <c r="I342" s="7">
        <v>1.8</v>
      </c>
      <c r="J342" s="7">
        <v>4.4000000000000004</v>
      </c>
      <c r="K342" s="6">
        <f>IFERROR(database_24_25!$I342/database_24_25!$J342,0)</f>
        <v>0.40909090909090906</v>
      </c>
      <c r="L342" s="7">
        <v>0.6</v>
      </c>
      <c r="M342" s="7">
        <v>2.1</v>
      </c>
      <c r="N342" s="6">
        <f>IFERROR(database_24_25!$L342/database_24_25!$M342,0)</f>
        <v>0.2857142857142857</v>
      </c>
      <c r="O342" s="7">
        <v>1.2</v>
      </c>
      <c r="P342" s="5">
        <f>database_24_25!$Q342/10</f>
        <v>2.2999999999999998</v>
      </c>
      <c r="Q342" s="7">
        <v>23</v>
      </c>
      <c r="R342" s="6">
        <f>IFERROR(database_24_25!$O342/database_24_25!$P342,0)</f>
        <v>0.52173913043478259</v>
      </c>
      <c r="S342" s="7">
        <v>0.4</v>
      </c>
      <c r="T342" s="7">
        <v>0.4</v>
      </c>
      <c r="U342" s="6">
        <f>IFERROR(database_24_25!$S342/database_24_25!$T342,0)</f>
        <v>1</v>
      </c>
      <c r="V342" s="7">
        <v>0.4</v>
      </c>
      <c r="W342" s="7">
        <v>0.8</v>
      </c>
      <c r="X342" s="7">
        <v>1.1000000000000001</v>
      </c>
      <c r="Y342" s="7">
        <v>0.6</v>
      </c>
      <c r="Z342" s="7">
        <v>0.3</v>
      </c>
      <c r="AA342" s="7">
        <v>0</v>
      </c>
      <c r="AB342" s="7">
        <v>0.3</v>
      </c>
      <c r="AC342" s="7">
        <v>0.4</v>
      </c>
      <c r="AD342" s="7">
        <v>4.4000000000000004</v>
      </c>
    </row>
    <row r="343" spans="1:30" x14ac:dyDescent="0.25">
      <c r="A343" s="7">
        <v>3420</v>
      </c>
      <c r="B343" s="7" t="s">
        <v>404</v>
      </c>
      <c r="C343" s="7">
        <v>22</v>
      </c>
      <c r="D343" s="7" t="s">
        <v>29</v>
      </c>
      <c r="E343" s="7" t="s">
        <v>32</v>
      </c>
      <c r="F343" s="7">
        <v>18</v>
      </c>
      <c r="G343" s="7">
        <v>4</v>
      </c>
      <c r="H343" s="7">
        <v>11.6</v>
      </c>
      <c r="I343" s="7">
        <v>1.7</v>
      </c>
      <c r="J343" s="7">
        <v>3.6</v>
      </c>
      <c r="K343" s="6">
        <f>IFERROR(database_24_25!$I343/database_24_25!$J343,0)</f>
        <v>0.47222222222222221</v>
      </c>
      <c r="L343" s="7">
        <v>0.7</v>
      </c>
      <c r="M343" s="7">
        <v>1.7</v>
      </c>
      <c r="N343" s="6">
        <f>IFERROR(database_24_25!$L343/database_24_25!$M343,0)</f>
        <v>0.41176470588235292</v>
      </c>
      <c r="O343" s="7">
        <v>0.9</v>
      </c>
      <c r="P343" s="5">
        <f>database_24_25!$Q343/10</f>
        <v>1.9</v>
      </c>
      <c r="Q343" s="7">
        <v>19</v>
      </c>
      <c r="R343" s="6">
        <f>IFERROR(database_24_25!$O343/database_24_25!$P343,0)</f>
        <v>0.47368421052631582</v>
      </c>
      <c r="S343" s="7">
        <v>0.4</v>
      </c>
      <c r="T343" s="7">
        <v>0.5</v>
      </c>
      <c r="U343" s="6">
        <f>IFERROR(database_24_25!$S343/database_24_25!$T343,0)</f>
        <v>0.8</v>
      </c>
      <c r="V343" s="7">
        <v>0.3</v>
      </c>
      <c r="W343" s="7">
        <v>1.4</v>
      </c>
      <c r="X343" s="7">
        <v>1.8</v>
      </c>
      <c r="Y343" s="7">
        <v>1.1000000000000001</v>
      </c>
      <c r="Z343" s="7">
        <v>0.9</v>
      </c>
      <c r="AA343" s="7">
        <v>0.4</v>
      </c>
      <c r="AB343" s="7">
        <v>0.9</v>
      </c>
      <c r="AC343" s="7">
        <v>1.3</v>
      </c>
      <c r="AD343" s="7">
        <v>4.4000000000000004</v>
      </c>
    </row>
    <row r="344" spans="1:30" x14ac:dyDescent="0.25">
      <c r="A344" s="7">
        <v>3390</v>
      </c>
      <c r="B344" s="7" t="s">
        <v>401</v>
      </c>
      <c r="C344" s="7">
        <v>27</v>
      </c>
      <c r="D344" s="7" t="s">
        <v>146</v>
      </c>
      <c r="E344" s="7" t="s">
        <v>35</v>
      </c>
      <c r="F344" s="7">
        <v>19</v>
      </c>
      <c r="G344" s="7">
        <v>0</v>
      </c>
      <c r="H344" s="7">
        <v>11.1</v>
      </c>
      <c r="I344" s="7">
        <v>1.5</v>
      </c>
      <c r="J344" s="7">
        <v>3.1</v>
      </c>
      <c r="K344" s="6">
        <f>IFERROR(database_24_25!$I344/database_24_25!$J344,0)</f>
        <v>0.48387096774193544</v>
      </c>
      <c r="L344" s="7">
        <v>0.6</v>
      </c>
      <c r="M344" s="7">
        <v>1.7</v>
      </c>
      <c r="N344" s="6">
        <f>IFERROR(database_24_25!$L344/database_24_25!$M344,0)</f>
        <v>0.35294117647058826</v>
      </c>
      <c r="O344" s="7">
        <v>0.9</v>
      </c>
      <c r="P344" s="5">
        <f>database_24_25!$Q344/10</f>
        <v>1.4</v>
      </c>
      <c r="Q344" s="7">
        <v>14</v>
      </c>
      <c r="R344" s="6">
        <f>IFERROR(database_24_25!$O344/database_24_25!$P344,0)</f>
        <v>0.6428571428571429</v>
      </c>
      <c r="S344" s="7">
        <v>0.7</v>
      </c>
      <c r="T344" s="7">
        <v>0.7</v>
      </c>
      <c r="U344" s="6">
        <f>IFERROR(database_24_25!$S344/database_24_25!$T344,0)</f>
        <v>1</v>
      </c>
      <c r="V344" s="7">
        <v>0.8</v>
      </c>
      <c r="W344" s="7">
        <v>2.2999999999999998</v>
      </c>
      <c r="X344" s="7">
        <v>3.1</v>
      </c>
      <c r="Y344" s="7">
        <v>0.4</v>
      </c>
      <c r="Z344" s="7">
        <v>0.3</v>
      </c>
      <c r="AA344" s="7">
        <v>0.6</v>
      </c>
      <c r="AB344" s="7">
        <v>0.2</v>
      </c>
      <c r="AC344" s="7">
        <v>0.9</v>
      </c>
      <c r="AD344" s="7">
        <v>4.4000000000000004</v>
      </c>
    </row>
    <row r="345" spans="1:30" x14ac:dyDescent="0.25">
      <c r="A345" s="7">
        <v>3450</v>
      </c>
      <c r="B345" s="7" t="s">
        <v>407</v>
      </c>
      <c r="C345" s="7">
        <v>34</v>
      </c>
      <c r="D345" s="7" t="s">
        <v>45</v>
      </c>
      <c r="E345" s="7" t="s">
        <v>35</v>
      </c>
      <c r="F345" s="7">
        <v>31</v>
      </c>
      <c r="G345" s="7">
        <v>9</v>
      </c>
      <c r="H345" s="7">
        <v>17.5</v>
      </c>
      <c r="I345" s="7">
        <v>1.6</v>
      </c>
      <c r="J345" s="7">
        <v>2.7</v>
      </c>
      <c r="K345" s="6">
        <f>IFERROR(database_24_25!$I345/database_24_25!$J345,0)</f>
        <v>0.59259259259259256</v>
      </c>
      <c r="L345" s="7">
        <v>0</v>
      </c>
      <c r="M345" s="7">
        <v>0</v>
      </c>
      <c r="N345" s="6">
        <f>IFERROR(database_24_25!$L345/database_24_25!$M345,0)</f>
        <v>0</v>
      </c>
      <c r="O345" s="7">
        <v>1.6</v>
      </c>
      <c r="P345" s="5">
        <f>database_24_25!$Q345/10</f>
        <v>2.7</v>
      </c>
      <c r="Q345" s="7">
        <v>27</v>
      </c>
      <c r="R345" s="6">
        <f>IFERROR(database_24_25!$O345/database_24_25!$P345,0)</f>
        <v>0.59259259259259256</v>
      </c>
      <c r="S345" s="7">
        <v>1.1000000000000001</v>
      </c>
      <c r="T345" s="7">
        <v>1.8</v>
      </c>
      <c r="U345" s="6">
        <f>IFERROR(database_24_25!$S345/database_24_25!$T345,0)</f>
        <v>0.61111111111111116</v>
      </c>
      <c r="V345" s="7">
        <v>1.6</v>
      </c>
      <c r="W345" s="7">
        <v>4.5999999999999996</v>
      </c>
      <c r="X345" s="7">
        <v>6.2</v>
      </c>
      <c r="Y345" s="7">
        <v>1.8</v>
      </c>
      <c r="Z345" s="7">
        <v>0.3</v>
      </c>
      <c r="AA345" s="7">
        <v>0.8</v>
      </c>
      <c r="AB345" s="7">
        <v>0.8</v>
      </c>
      <c r="AC345" s="7">
        <v>2</v>
      </c>
      <c r="AD345" s="7">
        <v>4.3</v>
      </c>
    </row>
    <row r="346" spans="1:30" x14ac:dyDescent="0.25">
      <c r="A346" s="5">
        <v>3440</v>
      </c>
      <c r="B346" s="5" t="s">
        <v>406</v>
      </c>
      <c r="C346" s="5">
        <v>25</v>
      </c>
      <c r="D346" s="5" t="s">
        <v>81</v>
      </c>
      <c r="E346" s="5" t="s">
        <v>65</v>
      </c>
      <c r="F346" s="5">
        <v>16</v>
      </c>
      <c r="G346" s="5">
        <v>0</v>
      </c>
      <c r="H346" s="5">
        <v>14.1</v>
      </c>
      <c r="I346" s="5">
        <v>1.6</v>
      </c>
      <c r="J346" s="5">
        <v>3.4</v>
      </c>
      <c r="K346" s="6">
        <f>IFERROR(database_24_25!$I346/database_24_25!$J346,0)</f>
        <v>0.4705882352941177</v>
      </c>
      <c r="L346" s="5">
        <v>0.6</v>
      </c>
      <c r="M346" s="5">
        <v>1.8</v>
      </c>
      <c r="N346" s="6">
        <f>IFERROR(database_24_25!$L346/database_24_25!$M346,0)</f>
        <v>0.33333333333333331</v>
      </c>
      <c r="O346" s="5">
        <v>1</v>
      </c>
      <c r="P346" s="5">
        <f>database_24_25!$Q346/10</f>
        <v>1.7</v>
      </c>
      <c r="Q346" s="5">
        <v>17</v>
      </c>
      <c r="R346" s="6">
        <f>IFERROR(database_24_25!$O346/database_24_25!$P346,0)</f>
        <v>0.58823529411764708</v>
      </c>
      <c r="S346" s="5">
        <v>0.6</v>
      </c>
      <c r="T346" s="5">
        <v>1</v>
      </c>
      <c r="U346" s="6">
        <f>IFERROR(database_24_25!$S346/database_24_25!$T346,0)</f>
        <v>0.6</v>
      </c>
      <c r="V346" s="5">
        <v>0.9</v>
      </c>
      <c r="W346" s="5">
        <v>1.9</v>
      </c>
      <c r="X346" s="5">
        <v>2.8</v>
      </c>
      <c r="Y346" s="5">
        <v>0.6</v>
      </c>
      <c r="Z346" s="5">
        <v>0.5</v>
      </c>
      <c r="AA346" s="5">
        <v>0.4</v>
      </c>
      <c r="AB346" s="5">
        <v>0.4</v>
      </c>
      <c r="AC346" s="5">
        <v>1.3</v>
      </c>
      <c r="AD346" s="5">
        <v>4.3</v>
      </c>
    </row>
    <row r="347" spans="1:30" x14ac:dyDescent="0.25">
      <c r="A347" s="7">
        <v>3460</v>
      </c>
      <c r="B347" s="7" t="s">
        <v>408</v>
      </c>
      <c r="C347" s="7">
        <v>28</v>
      </c>
      <c r="D347" s="7" t="s">
        <v>51</v>
      </c>
      <c r="E347" s="7" t="s">
        <v>32</v>
      </c>
      <c r="F347" s="7">
        <v>31</v>
      </c>
      <c r="G347" s="7">
        <v>5</v>
      </c>
      <c r="H347" s="7">
        <v>18.899999999999999</v>
      </c>
      <c r="I347" s="7">
        <v>1.6</v>
      </c>
      <c r="J347" s="7">
        <v>4.3</v>
      </c>
      <c r="K347" s="6">
        <f>IFERROR(database_24_25!$I347/database_24_25!$J347,0)</f>
        <v>0.372093023255814</v>
      </c>
      <c r="L347" s="7">
        <v>0.9</v>
      </c>
      <c r="M347" s="7">
        <v>2.8</v>
      </c>
      <c r="N347" s="6">
        <f>IFERROR(database_24_25!$L347/database_24_25!$M347,0)</f>
        <v>0.32142857142857145</v>
      </c>
      <c r="O347" s="7">
        <v>0.7</v>
      </c>
      <c r="P347" s="5">
        <f>database_24_25!$Q347/10</f>
        <v>1.5</v>
      </c>
      <c r="Q347" s="7">
        <v>15</v>
      </c>
      <c r="R347" s="6">
        <f>IFERROR(database_24_25!$O347/database_24_25!$P347,0)</f>
        <v>0.46666666666666662</v>
      </c>
      <c r="S347" s="7">
        <v>0.1</v>
      </c>
      <c r="T347" s="7">
        <v>0.3</v>
      </c>
      <c r="U347" s="6">
        <f>IFERROR(database_24_25!$S347/database_24_25!$T347,0)</f>
        <v>0.33333333333333337</v>
      </c>
      <c r="V347" s="7">
        <v>0.3</v>
      </c>
      <c r="W347" s="7">
        <v>1</v>
      </c>
      <c r="X347" s="7">
        <v>1.3</v>
      </c>
      <c r="Y347" s="7">
        <v>0.9</v>
      </c>
      <c r="Z347" s="7">
        <v>0.8</v>
      </c>
      <c r="AA347" s="7">
        <v>0.2</v>
      </c>
      <c r="AB347" s="7">
        <v>0.6</v>
      </c>
      <c r="AC347" s="7">
        <v>1.9</v>
      </c>
      <c r="AD347" s="7">
        <v>4.3</v>
      </c>
    </row>
    <row r="348" spans="1:30" x14ac:dyDescent="0.25">
      <c r="A348" s="5">
        <v>3470</v>
      </c>
      <c r="B348" s="5" t="s">
        <v>409</v>
      </c>
      <c r="C348" s="5">
        <v>22</v>
      </c>
      <c r="D348" s="5" t="s">
        <v>90</v>
      </c>
      <c r="E348" s="5" t="s">
        <v>58</v>
      </c>
      <c r="F348" s="5">
        <v>31</v>
      </c>
      <c r="G348" s="5">
        <v>1</v>
      </c>
      <c r="H348" s="5">
        <v>13.8</v>
      </c>
      <c r="I348" s="5">
        <v>1.5</v>
      </c>
      <c r="J348" s="5">
        <v>3.1</v>
      </c>
      <c r="K348" s="6">
        <f>IFERROR(database_24_25!$I348/database_24_25!$J348,0)</f>
        <v>0.48387096774193544</v>
      </c>
      <c r="L348" s="5">
        <v>0.4</v>
      </c>
      <c r="M348" s="5">
        <v>1.2</v>
      </c>
      <c r="N348" s="6">
        <f>IFERROR(database_24_25!$L348/database_24_25!$M348,0)</f>
        <v>0.33333333333333337</v>
      </c>
      <c r="O348" s="5">
        <v>1.1000000000000001</v>
      </c>
      <c r="P348" s="5">
        <f>database_24_25!$Q348/10</f>
        <v>1.9</v>
      </c>
      <c r="Q348" s="5">
        <v>19</v>
      </c>
      <c r="R348" s="6">
        <f>IFERROR(database_24_25!$O348/database_24_25!$P348,0)</f>
        <v>0.57894736842105265</v>
      </c>
      <c r="S348" s="5">
        <v>0.8</v>
      </c>
      <c r="T348" s="5">
        <v>1.2</v>
      </c>
      <c r="U348" s="6">
        <f>IFERROR(database_24_25!$S348/database_24_25!$T348,0)</f>
        <v>0.66666666666666674</v>
      </c>
      <c r="V348" s="5">
        <v>0.6</v>
      </c>
      <c r="W348" s="5">
        <v>0.9</v>
      </c>
      <c r="X348" s="5">
        <v>1.5</v>
      </c>
      <c r="Y348" s="5">
        <v>1.1000000000000001</v>
      </c>
      <c r="Z348" s="5">
        <v>0.5</v>
      </c>
      <c r="AA348" s="5">
        <v>0.3</v>
      </c>
      <c r="AB348" s="5">
        <v>0.9</v>
      </c>
      <c r="AC348" s="5">
        <v>1.5</v>
      </c>
      <c r="AD348" s="5">
        <v>4.2</v>
      </c>
    </row>
    <row r="349" spans="1:30" x14ac:dyDescent="0.25">
      <c r="A349" s="5">
        <v>3500</v>
      </c>
      <c r="B349" s="5" t="s">
        <v>412</v>
      </c>
      <c r="C349" s="5">
        <v>38</v>
      </c>
      <c r="D349" s="5" t="s">
        <v>53</v>
      </c>
      <c r="E349" s="5" t="s">
        <v>32</v>
      </c>
      <c r="F349" s="5">
        <v>24</v>
      </c>
      <c r="G349" s="5">
        <v>12</v>
      </c>
      <c r="H349" s="5">
        <v>19.7</v>
      </c>
      <c r="I349" s="5">
        <v>1.2</v>
      </c>
      <c r="J349" s="5">
        <v>3.5</v>
      </c>
      <c r="K349" s="6">
        <f>IFERROR(database_24_25!$I349/database_24_25!$J349,0)</f>
        <v>0.34285714285714286</v>
      </c>
      <c r="L349" s="5">
        <v>0.9</v>
      </c>
      <c r="M349" s="5">
        <v>2.7</v>
      </c>
      <c r="N349" s="6">
        <f>IFERROR(database_24_25!$L349/database_24_25!$M349,0)</f>
        <v>0.33333333333333331</v>
      </c>
      <c r="O349" s="5">
        <v>0.3</v>
      </c>
      <c r="P349" s="5">
        <f>database_24_25!$Q349/10</f>
        <v>0.9</v>
      </c>
      <c r="Q349" s="5">
        <v>9</v>
      </c>
      <c r="R349" s="6">
        <f>IFERROR(database_24_25!$O349/database_24_25!$P349,0)</f>
        <v>0.33333333333333331</v>
      </c>
      <c r="S349" s="5">
        <v>0.8</v>
      </c>
      <c r="T349" s="5">
        <v>1</v>
      </c>
      <c r="U349" s="6">
        <f>IFERROR(database_24_25!$S349/database_24_25!$T349,0)</f>
        <v>0.8</v>
      </c>
      <c r="V349" s="5">
        <v>0.3</v>
      </c>
      <c r="W349" s="5">
        <v>1.5</v>
      </c>
      <c r="X349" s="5">
        <v>1.8</v>
      </c>
      <c r="Y349" s="5">
        <v>2.7</v>
      </c>
      <c r="Z349" s="5">
        <v>1</v>
      </c>
      <c r="AA349" s="5">
        <v>0.3</v>
      </c>
      <c r="AB349" s="5">
        <v>0.7</v>
      </c>
      <c r="AC349" s="5">
        <v>1.9</v>
      </c>
      <c r="AD349" s="5">
        <v>4.0999999999999996</v>
      </c>
    </row>
    <row r="350" spans="1:30" x14ac:dyDescent="0.25">
      <c r="A350" s="7">
        <v>3490</v>
      </c>
      <c r="B350" s="7" t="s">
        <v>411</v>
      </c>
      <c r="C350" s="7">
        <v>30</v>
      </c>
      <c r="D350" s="7" t="s">
        <v>39</v>
      </c>
      <c r="E350" s="7" t="s">
        <v>58</v>
      </c>
      <c r="F350" s="7">
        <v>20</v>
      </c>
      <c r="G350" s="7">
        <v>2</v>
      </c>
      <c r="H350" s="7">
        <v>16.3</v>
      </c>
      <c r="I350" s="7">
        <v>1.5</v>
      </c>
      <c r="J350" s="7">
        <v>3.6</v>
      </c>
      <c r="K350" s="6">
        <f>IFERROR(database_24_25!$I350/database_24_25!$J350,0)</f>
        <v>0.41666666666666663</v>
      </c>
      <c r="L350" s="7">
        <v>1</v>
      </c>
      <c r="M350" s="7">
        <v>2.7</v>
      </c>
      <c r="N350" s="6">
        <f>IFERROR(database_24_25!$L350/database_24_25!$M350,0)</f>
        <v>0.37037037037037035</v>
      </c>
      <c r="O350" s="7">
        <v>0.5</v>
      </c>
      <c r="P350" s="5">
        <f>database_24_25!$Q350/10</f>
        <v>0.9</v>
      </c>
      <c r="Q350" s="7">
        <v>9</v>
      </c>
      <c r="R350" s="6">
        <f>IFERROR(database_24_25!$O350/database_24_25!$P350,0)</f>
        <v>0.55555555555555558</v>
      </c>
      <c r="S350" s="7">
        <v>0.2</v>
      </c>
      <c r="T350" s="7">
        <v>0.4</v>
      </c>
      <c r="U350" s="6">
        <f>IFERROR(database_24_25!$S350/database_24_25!$T350,0)</f>
        <v>0.5</v>
      </c>
      <c r="V350" s="7">
        <v>0.5</v>
      </c>
      <c r="W350" s="7">
        <v>0.8</v>
      </c>
      <c r="X350" s="7">
        <v>1.3</v>
      </c>
      <c r="Y350" s="7">
        <v>0.5</v>
      </c>
      <c r="Z350" s="7">
        <v>0.7</v>
      </c>
      <c r="AA350" s="7">
        <v>0.3</v>
      </c>
      <c r="AB350" s="7">
        <v>0.5</v>
      </c>
      <c r="AC350" s="7">
        <v>0.7</v>
      </c>
      <c r="AD350" s="7">
        <v>4.0999999999999996</v>
      </c>
    </row>
    <row r="351" spans="1:30" x14ac:dyDescent="0.25">
      <c r="A351" s="7">
        <v>3480</v>
      </c>
      <c r="B351" s="7" t="s">
        <v>410</v>
      </c>
      <c r="C351" s="7">
        <v>26</v>
      </c>
      <c r="D351" s="7" t="s">
        <v>75</v>
      </c>
      <c r="E351" s="7" t="s">
        <v>35</v>
      </c>
      <c r="F351" s="7">
        <v>19</v>
      </c>
      <c r="G351" s="7">
        <v>0</v>
      </c>
      <c r="H351" s="7">
        <v>12.4</v>
      </c>
      <c r="I351" s="7">
        <v>1.6</v>
      </c>
      <c r="J351" s="7">
        <v>3.6</v>
      </c>
      <c r="K351" s="6">
        <f>IFERROR(database_24_25!$I351/database_24_25!$J351,0)</f>
        <v>0.44444444444444448</v>
      </c>
      <c r="L351" s="7">
        <v>0.4</v>
      </c>
      <c r="M351" s="7">
        <v>1.7</v>
      </c>
      <c r="N351" s="6">
        <f>IFERROR(database_24_25!$L351/database_24_25!$M351,0)</f>
        <v>0.23529411764705885</v>
      </c>
      <c r="O351" s="7">
        <v>1.2</v>
      </c>
      <c r="P351" s="5">
        <f>database_24_25!$Q351/10</f>
        <v>1.9</v>
      </c>
      <c r="Q351" s="7">
        <v>19</v>
      </c>
      <c r="R351" s="6">
        <f>IFERROR(database_24_25!$O351/database_24_25!$P351,0)</f>
        <v>0.63157894736842102</v>
      </c>
      <c r="S351" s="7">
        <v>0.5</v>
      </c>
      <c r="T351" s="7">
        <v>0.7</v>
      </c>
      <c r="U351" s="6">
        <f>IFERROR(database_24_25!$S351/database_24_25!$T351,0)</f>
        <v>0.7142857142857143</v>
      </c>
      <c r="V351" s="7">
        <v>0.8</v>
      </c>
      <c r="W351" s="7">
        <v>3.1</v>
      </c>
      <c r="X351" s="7">
        <v>3.8</v>
      </c>
      <c r="Y351" s="7">
        <v>0.6</v>
      </c>
      <c r="Z351" s="7">
        <v>0.4</v>
      </c>
      <c r="AA351" s="7">
        <v>1</v>
      </c>
      <c r="AB351" s="7">
        <v>0.6</v>
      </c>
      <c r="AC351" s="7">
        <v>1.8</v>
      </c>
      <c r="AD351" s="7">
        <v>4.0999999999999996</v>
      </c>
    </row>
    <row r="352" spans="1:30" x14ac:dyDescent="0.25">
      <c r="A352" s="7">
        <v>3510</v>
      </c>
      <c r="B352" s="7" t="s">
        <v>413</v>
      </c>
      <c r="C352" s="7">
        <v>23</v>
      </c>
      <c r="D352" s="7" t="s">
        <v>73</v>
      </c>
      <c r="E352" s="7" t="s">
        <v>58</v>
      </c>
      <c r="F352" s="7">
        <v>14</v>
      </c>
      <c r="G352" s="7">
        <v>1</v>
      </c>
      <c r="H352" s="7">
        <v>14.1</v>
      </c>
      <c r="I352" s="7">
        <v>1.5</v>
      </c>
      <c r="J352" s="7">
        <v>3.1</v>
      </c>
      <c r="K352" s="6">
        <f>IFERROR(database_24_25!$I352/database_24_25!$J352,0)</f>
        <v>0.48387096774193544</v>
      </c>
      <c r="L352" s="7">
        <v>0.2</v>
      </c>
      <c r="M352" s="7">
        <v>0.9</v>
      </c>
      <c r="N352" s="6">
        <f>IFERROR(database_24_25!$L352/database_24_25!$M352,0)</f>
        <v>0.22222222222222224</v>
      </c>
      <c r="O352" s="7">
        <v>1.3</v>
      </c>
      <c r="P352" s="5">
        <f>database_24_25!$Q352/10</f>
        <v>2.2000000000000002</v>
      </c>
      <c r="Q352" s="7">
        <v>22</v>
      </c>
      <c r="R352" s="6">
        <f>IFERROR(database_24_25!$O352/database_24_25!$P352,0)</f>
        <v>0.59090909090909083</v>
      </c>
      <c r="S352" s="7">
        <v>0.9</v>
      </c>
      <c r="T352" s="7">
        <v>1</v>
      </c>
      <c r="U352" s="6">
        <f>IFERROR(database_24_25!$S352/database_24_25!$T352,0)</f>
        <v>0.9</v>
      </c>
      <c r="V352" s="7">
        <v>0.8</v>
      </c>
      <c r="W352" s="7">
        <v>2.2000000000000002</v>
      </c>
      <c r="X352" s="7">
        <v>3</v>
      </c>
      <c r="Y352" s="7">
        <v>1.5</v>
      </c>
      <c r="Z352" s="7">
        <v>0.7</v>
      </c>
      <c r="AA352" s="7">
        <v>0.2</v>
      </c>
      <c r="AB352" s="7">
        <v>0.6</v>
      </c>
      <c r="AC352" s="7">
        <v>1</v>
      </c>
      <c r="AD352" s="7">
        <v>4.0999999999999996</v>
      </c>
    </row>
    <row r="353" spans="1:30" x14ac:dyDescent="0.25">
      <c r="A353" s="5">
        <v>3530</v>
      </c>
      <c r="B353" s="5" t="s">
        <v>415</v>
      </c>
      <c r="C353" s="5">
        <v>26</v>
      </c>
      <c r="D353" s="5" t="s">
        <v>114</v>
      </c>
      <c r="E353" s="5" t="s">
        <v>35</v>
      </c>
      <c r="F353" s="5">
        <v>9</v>
      </c>
      <c r="G353" s="5">
        <v>2</v>
      </c>
      <c r="H353" s="5">
        <v>18.100000000000001</v>
      </c>
      <c r="I353" s="5">
        <v>1.4</v>
      </c>
      <c r="J353" s="5">
        <v>3.3</v>
      </c>
      <c r="K353" s="6">
        <f>IFERROR(database_24_25!$I353/database_24_25!$J353,0)</f>
        <v>0.42424242424242425</v>
      </c>
      <c r="L353" s="5">
        <v>1.1000000000000001</v>
      </c>
      <c r="M353" s="5">
        <v>2.8</v>
      </c>
      <c r="N353" s="6">
        <f>IFERROR(database_24_25!$L353/database_24_25!$M353,0)</f>
        <v>0.3928571428571429</v>
      </c>
      <c r="O353" s="5">
        <v>0.3</v>
      </c>
      <c r="P353" s="5">
        <f>database_24_25!$Q353/10</f>
        <v>0.6</v>
      </c>
      <c r="Q353" s="5">
        <v>6</v>
      </c>
      <c r="R353" s="6">
        <f>IFERROR(database_24_25!$O353/database_24_25!$P353,0)</f>
        <v>0.5</v>
      </c>
      <c r="S353" s="5">
        <v>0</v>
      </c>
      <c r="T353" s="5">
        <v>0</v>
      </c>
      <c r="U353" s="6">
        <f>IFERROR(database_24_25!$S353/database_24_25!$T353,0)</f>
        <v>0</v>
      </c>
      <c r="V353" s="5">
        <v>1.6</v>
      </c>
      <c r="W353" s="5">
        <v>3.6</v>
      </c>
      <c r="X353" s="5">
        <v>5.0999999999999996</v>
      </c>
      <c r="Y353" s="5">
        <v>1.3</v>
      </c>
      <c r="Z353" s="5">
        <v>0.2</v>
      </c>
      <c r="AA353" s="5">
        <v>0.4</v>
      </c>
      <c r="AB353" s="5">
        <v>0.7</v>
      </c>
      <c r="AC353" s="5">
        <v>1</v>
      </c>
      <c r="AD353" s="5">
        <v>4</v>
      </c>
    </row>
    <row r="354" spans="1:30" x14ac:dyDescent="0.25">
      <c r="A354" s="5">
        <v>3520</v>
      </c>
      <c r="B354" s="5" t="s">
        <v>414</v>
      </c>
      <c r="C354" s="5">
        <v>21</v>
      </c>
      <c r="D354" s="5" t="s">
        <v>39</v>
      </c>
      <c r="E354" s="5" t="s">
        <v>65</v>
      </c>
      <c r="F354" s="5">
        <v>33</v>
      </c>
      <c r="G354" s="5">
        <v>0</v>
      </c>
      <c r="H354" s="5">
        <v>10.4</v>
      </c>
      <c r="I354" s="5">
        <v>1.4</v>
      </c>
      <c r="J354" s="5">
        <v>3.8</v>
      </c>
      <c r="K354" s="6">
        <f>IFERROR(database_24_25!$I354/database_24_25!$J354,0)</f>
        <v>0.36842105263157893</v>
      </c>
      <c r="L354" s="5">
        <v>0.8</v>
      </c>
      <c r="M354" s="5">
        <v>2.8</v>
      </c>
      <c r="N354" s="6">
        <f>IFERROR(database_24_25!$L354/database_24_25!$M354,0)</f>
        <v>0.28571428571428575</v>
      </c>
      <c r="O354" s="5">
        <v>0.5</v>
      </c>
      <c r="P354" s="5">
        <f>database_24_25!$Q354/10</f>
        <v>1</v>
      </c>
      <c r="Q354" s="5">
        <v>10</v>
      </c>
      <c r="R354" s="6">
        <f>IFERROR(database_24_25!$O354/database_24_25!$P354,0)</f>
        <v>0.5</v>
      </c>
      <c r="S354" s="5">
        <v>0.3</v>
      </c>
      <c r="T354" s="5">
        <v>0.4</v>
      </c>
      <c r="U354" s="6">
        <f>IFERROR(database_24_25!$S354/database_24_25!$T354,0)</f>
        <v>0.74999999999999989</v>
      </c>
      <c r="V354" s="5">
        <v>0.3</v>
      </c>
      <c r="W354" s="5">
        <v>0.8</v>
      </c>
      <c r="X354" s="5">
        <v>1.1000000000000001</v>
      </c>
      <c r="Y354" s="5">
        <v>0.5</v>
      </c>
      <c r="Z354" s="5">
        <v>0.2</v>
      </c>
      <c r="AA354" s="5">
        <v>0.2</v>
      </c>
      <c r="AB354" s="5">
        <v>0.4</v>
      </c>
      <c r="AC354" s="5">
        <v>0.9</v>
      </c>
      <c r="AD354" s="5">
        <v>4</v>
      </c>
    </row>
    <row r="355" spans="1:30" x14ac:dyDescent="0.25">
      <c r="A355" s="7">
        <v>3540</v>
      </c>
      <c r="B355" s="7" t="s">
        <v>416</v>
      </c>
      <c r="C355" s="7">
        <v>31</v>
      </c>
      <c r="D355" s="7" t="s">
        <v>70</v>
      </c>
      <c r="E355" s="7" t="s">
        <v>58</v>
      </c>
      <c r="F355" s="7">
        <v>8</v>
      </c>
      <c r="G355" s="7">
        <v>0</v>
      </c>
      <c r="H355" s="7">
        <v>18.8</v>
      </c>
      <c r="I355" s="7">
        <v>1.4</v>
      </c>
      <c r="J355" s="7">
        <v>4.8</v>
      </c>
      <c r="K355" s="6">
        <f>IFERROR(database_24_25!$I355/database_24_25!$J355,0)</f>
        <v>0.29166666666666669</v>
      </c>
      <c r="L355" s="7">
        <v>0.8</v>
      </c>
      <c r="M355" s="7">
        <v>2.8</v>
      </c>
      <c r="N355" s="6">
        <f>IFERROR(database_24_25!$L355/database_24_25!$M355,0)</f>
        <v>0.28571428571428575</v>
      </c>
      <c r="O355" s="7">
        <v>0.6</v>
      </c>
      <c r="P355" s="5">
        <f>database_24_25!$Q355/10</f>
        <v>2</v>
      </c>
      <c r="Q355" s="7">
        <v>20</v>
      </c>
      <c r="R355" s="6">
        <f>IFERROR(database_24_25!$O355/database_24_25!$P355,0)</f>
        <v>0.3</v>
      </c>
      <c r="S355" s="7">
        <v>0.5</v>
      </c>
      <c r="T355" s="7">
        <v>0.5</v>
      </c>
      <c r="U355" s="6">
        <f>IFERROR(database_24_25!$S355/database_24_25!$T355,0)</f>
        <v>1</v>
      </c>
      <c r="V355" s="7">
        <v>0.8</v>
      </c>
      <c r="W355" s="7">
        <v>0.8</v>
      </c>
      <c r="X355" s="7">
        <v>1.5</v>
      </c>
      <c r="Y355" s="7">
        <v>1.5</v>
      </c>
      <c r="Z355" s="7">
        <v>1</v>
      </c>
      <c r="AA355" s="7">
        <v>0.1</v>
      </c>
      <c r="AB355" s="7">
        <v>1</v>
      </c>
      <c r="AC355" s="7">
        <v>2.1</v>
      </c>
      <c r="AD355" s="7">
        <v>4</v>
      </c>
    </row>
    <row r="356" spans="1:30" x14ac:dyDescent="0.25">
      <c r="A356" s="5">
        <v>3570</v>
      </c>
      <c r="B356" s="5" t="s">
        <v>419</v>
      </c>
      <c r="C356" s="5">
        <v>21</v>
      </c>
      <c r="D356" s="5" t="s">
        <v>49</v>
      </c>
      <c r="E356" s="5" t="s">
        <v>58</v>
      </c>
      <c r="F356" s="5">
        <v>23</v>
      </c>
      <c r="G356" s="5">
        <v>0</v>
      </c>
      <c r="H356" s="5">
        <v>11.3</v>
      </c>
      <c r="I356" s="5">
        <v>1.5</v>
      </c>
      <c r="J356" s="5">
        <v>3.3</v>
      </c>
      <c r="K356" s="6">
        <f>IFERROR(database_24_25!$I356/database_24_25!$J356,0)</f>
        <v>0.45454545454545459</v>
      </c>
      <c r="L356" s="5">
        <v>0.2</v>
      </c>
      <c r="M356" s="5">
        <v>0.9</v>
      </c>
      <c r="N356" s="6">
        <f>IFERROR(database_24_25!$L356/database_24_25!$M356,0)</f>
        <v>0.22222222222222224</v>
      </c>
      <c r="O356" s="5">
        <v>1.3</v>
      </c>
      <c r="P356" s="5">
        <f>database_24_25!$Q356/10</f>
        <v>2.4</v>
      </c>
      <c r="Q356" s="5">
        <v>24</v>
      </c>
      <c r="R356" s="6">
        <f>IFERROR(database_24_25!$O356/database_24_25!$P356,0)</f>
        <v>0.54166666666666674</v>
      </c>
      <c r="S356" s="5">
        <v>0.7</v>
      </c>
      <c r="T356" s="5">
        <v>0.9</v>
      </c>
      <c r="U356" s="6">
        <f>IFERROR(database_24_25!$S356/database_24_25!$T356,0)</f>
        <v>0.77777777777777768</v>
      </c>
      <c r="V356" s="5">
        <v>0.3</v>
      </c>
      <c r="W356" s="5">
        <v>0.6</v>
      </c>
      <c r="X356" s="5">
        <v>0.8</v>
      </c>
      <c r="Y356" s="5">
        <v>2</v>
      </c>
      <c r="Z356" s="5">
        <v>0.4</v>
      </c>
      <c r="AA356" s="5">
        <v>0.1</v>
      </c>
      <c r="AB356" s="5">
        <v>1</v>
      </c>
      <c r="AC356" s="5">
        <v>0.6</v>
      </c>
      <c r="AD356" s="5">
        <v>3.9</v>
      </c>
    </row>
    <row r="357" spans="1:30" x14ac:dyDescent="0.25">
      <c r="A357" s="7">
        <v>3560</v>
      </c>
      <c r="B357" s="7" t="s">
        <v>418</v>
      </c>
      <c r="C357" s="7">
        <v>24</v>
      </c>
      <c r="D357" s="7" t="s">
        <v>124</v>
      </c>
      <c r="E357" s="7" t="s">
        <v>65</v>
      </c>
      <c r="F357" s="7">
        <v>27</v>
      </c>
      <c r="G357" s="7">
        <v>0</v>
      </c>
      <c r="H357" s="7">
        <v>12.4</v>
      </c>
      <c r="I357" s="7">
        <v>1.6</v>
      </c>
      <c r="J357" s="7">
        <v>3.4</v>
      </c>
      <c r="K357" s="6">
        <f>IFERROR(database_24_25!$I357/database_24_25!$J357,0)</f>
        <v>0.4705882352941177</v>
      </c>
      <c r="L357" s="7">
        <v>0.4</v>
      </c>
      <c r="M357" s="7">
        <v>1.4</v>
      </c>
      <c r="N357" s="6">
        <f>IFERROR(database_24_25!$L357/database_24_25!$M357,0)</f>
        <v>0.28571428571428575</v>
      </c>
      <c r="O357" s="7">
        <v>1.1000000000000001</v>
      </c>
      <c r="P357" s="5">
        <f>database_24_25!$Q357/10</f>
        <v>2</v>
      </c>
      <c r="Q357" s="7">
        <v>20</v>
      </c>
      <c r="R357" s="6">
        <f>IFERROR(database_24_25!$O357/database_24_25!$P357,0)</f>
        <v>0.55000000000000004</v>
      </c>
      <c r="S357" s="7">
        <v>0.3</v>
      </c>
      <c r="T357" s="7">
        <v>0.8</v>
      </c>
      <c r="U357" s="6">
        <f>IFERROR(database_24_25!$S357/database_24_25!$T357,0)</f>
        <v>0.37499999999999994</v>
      </c>
      <c r="V357" s="7">
        <v>1</v>
      </c>
      <c r="W357" s="7">
        <v>1.2</v>
      </c>
      <c r="X357" s="7">
        <v>2.1</v>
      </c>
      <c r="Y357" s="7">
        <v>0.7</v>
      </c>
      <c r="Z357" s="7">
        <v>0.4</v>
      </c>
      <c r="AA357" s="7">
        <v>0.1</v>
      </c>
      <c r="AB357" s="7">
        <v>0.6</v>
      </c>
      <c r="AC357" s="7">
        <v>1</v>
      </c>
      <c r="AD357" s="7">
        <v>3.9</v>
      </c>
    </row>
    <row r="358" spans="1:30" x14ac:dyDescent="0.25">
      <c r="A358" s="5">
        <v>3550</v>
      </c>
      <c r="B358" s="5" t="s">
        <v>417</v>
      </c>
      <c r="C358" s="5">
        <v>26</v>
      </c>
      <c r="D358" s="5" t="s">
        <v>63</v>
      </c>
      <c r="E358" s="5" t="s">
        <v>35</v>
      </c>
      <c r="F358" s="5">
        <v>9</v>
      </c>
      <c r="G358" s="5">
        <v>0</v>
      </c>
      <c r="H358" s="5">
        <v>5.0999999999999996</v>
      </c>
      <c r="I358" s="5">
        <v>1.6</v>
      </c>
      <c r="J358" s="5">
        <v>2.8</v>
      </c>
      <c r="K358" s="6">
        <f>IFERROR(database_24_25!$I358/database_24_25!$J358,0)</f>
        <v>0.57142857142857151</v>
      </c>
      <c r="L358" s="5">
        <v>0.2</v>
      </c>
      <c r="M358" s="5">
        <v>0.9</v>
      </c>
      <c r="N358" s="6">
        <f>IFERROR(database_24_25!$L358/database_24_25!$M358,0)</f>
        <v>0.22222222222222224</v>
      </c>
      <c r="O358" s="5">
        <v>1.3</v>
      </c>
      <c r="P358" s="5">
        <f>database_24_25!$Q358/10</f>
        <v>1.9</v>
      </c>
      <c r="Q358" s="5">
        <v>19</v>
      </c>
      <c r="R358" s="6">
        <f>IFERROR(database_24_25!$O358/database_24_25!$P358,0)</f>
        <v>0.68421052631578949</v>
      </c>
      <c r="S358" s="5">
        <v>0.6</v>
      </c>
      <c r="T358" s="5">
        <v>0.9</v>
      </c>
      <c r="U358" s="6">
        <f>IFERROR(database_24_25!$S358/database_24_25!$T358,0)</f>
        <v>0.66666666666666663</v>
      </c>
      <c r="V358" s="5">
        <v>0.4</v>
      </c>
      <c r="W358" s="5">
        <v>0.8</v>
      </c>
      <c r="X358" s="5">
        <v>1.2</v>
      </c>
      <c r="Y358" s="5">
        <v>0.1</v>
      </c>
      <c r="Z358" s="5">
        <v>0.1</v>
      </c>
      <c r="AA358" s="5">
        <v>0</v>
      </c>
      <c r="AB358" s="5">
        <v>0.3</v>
      </c>
      <c r="AC358" s="5">
        <v>0.4</v>
      </c>
      <c r="AD358" s="5">
        <v>3.9</v>
      </c>
    </row>
    <row r="359" spans="1:30" x14ac:dyDescent="0.25">
      <c r="A359" s="7">
        <v>3580</v>
      </c>
      <c r="B359" s="7" t="s">
        <v>420</v>
      </c>
      <c r="C359" s="7">
        <v>22</v>
      </c>
      <c r="D359" s="7" t="s">
        <v>45</v>
      </c>
      <c r="E359" s="7" t="s">
        <v>27</v>
      </c>
      <c r="F359" s="7">
        <v>26</v>
      </c>
      <c r="G359" s="7">
        <v>2</v>
      </c>
      <c r="H359" s="7">
        <v>15.9</v>
      </c>
      <c r="I359" s="7">
        <v>1.7</v>
      </c>
      <c r="J359" s="7">
        <v>2.8</v>
      </c>
      <c r="K359" s="6">
        <f>IFERROR(database_24_25!$I359/database_24_25!$J359,0)</f>
        <v>0.60714285714285721</v>
      </c>
      <c r="L359" s="7">
        <v>0</v>
      </c>
      <c r="M359" s="7">
        <v>0</v>
      </c>
      <c r="N359" s="6">
        <f>IFERROR(database_24_25!$L359/database_24_25!$M359,0)</f>
        <v>0</v>
      </c>
      <c r="O359" s="7">
        <v>1.7</v>
      </c>
      <c r="P359" s="5">
        <f>database_24_25!$Q359/10</f>
        <v>2.8</v>
      </c>
      <c r="Q359" s="7">
        <v>28</v>
      </c>
      <c r="R359" s="6">
        <f>IFERROR(database_24_25!$O359/database_24_25!$P359,0)</f>
        <v>0.60714285714285721</v>
      </c>
      <c r="S359" s="7">
        <v>0.4</v>
      </c>
      <c r="T359" s="7">
        <v>0.7</v>
      </c>
      <c r="U359" s="6">
        <f>IFERROR(database_24_25!$S359/database_24_25!$T359,0)</f>
        <v>0.57142857142857151</v>
      </c>
      <c r="V359" s="7">
        <v>1</v>
      </c>
      <c r="W359" s="7">
        <v>2.7</v>
      </c>
      <c r="X359" s="7">
        <v>3.7</v>
      </c>
      <c r="Y359" s="7">
        <v>0.9</v>
      </c>
      <c r="Z359" s="7">
        <v>0.5</v>
      </c>
      <c r="AA359" s="7">
        <v>0.3</v>
      </c>
      <c r="AB359" s="7">
        <v>0.6</v>
      </c>
      <c r="AC359" s="7">
        <v>1.7</v>
      </c>
      <c r="AD359" s="7">
        <v>3.8</v>
      </c>
    </row>
    <row r="360" spans="1:30" x14ac:dyDescent="0.25">
      <c r="A360" s="5">
        <v>3590</v>
      </c>
      <c r="B360" s="5" t="s">
        <v>421</v>
      </c>
      <c r="C360" s="5">
        <v>34</v>
      </c>
      <c r="D360" s="5" t="s">
        <v>53</v>
      </c>
      <c r="E360" s="5" t="s">
        <v>32</v>
      </c>
      <c r="F360" s="5">
        <v>17</v>
      </c>
      <c r="G360" s="5">
        <v>0</v>
      </c>
      <c r="H360" s="5">
        <v>11.7</v>
      </c>
      <c r="I360" s="5">
        <v>1.4</v>
      </c>
      <c r="J360" s="5">
        <v>3.6</v>
      </c>
      <c r="K360" s="6">
        <f>IFERROR(database_24_25!$I360/database_24_25!$J360,0)</f>
        <v>0.38888888888888884</v>
      </c>
      <c r="L360" s="5">
        <v>0.9</v>
      </c>
      <c r="M360" s="5">
        <v>2.2000000000000002</v>
      </c>
      <c r="N360" s="6">
        <f>IFERROR(database_24_25!$L360/database_24_25!$M360,0)</f>
        <v>0.40909090909090906</v>
      </c>
      <c r="O360" s="5">
        <v>0.5</v>
      </c>
      <c r="P360" s="5">
        <f>database_24_25!$Q360/10</f>
        <v>1.4</v>
      </c>
      <c r="Q360" s="5">
        <v>14</v>
      </c>
      <c r="R360" s="6">
        <f>IFERROR(database_24_25!$O360/database_24_25!$P360,0)</f>
        <v>0.35714285714285715</v>
      </c>
      <c r="S360" s="5">
        <v>0.1</v>
      </c>
      <c r="T360" s="5">
        <v>0.1</v>
      </c>
      <c r="U360" s="6">
        <f>IFERROR(database_24_25!$S360/database_24_25!$T360,0)</f>
        <v>1</v>
      </c>
      <c r="V360" s="5">
        <v>0.2</v>
      </c>
      <c r="W360" s="5">
        <v>1.1000000000000001</v>
      </c>
      <c r="X360" s="5">
        <v>1.3</v>
      </c>
      <c r="Y360" s="5">
        <v>1.8</v>
      </c>
      <c r="Z360" s="5">
        <v>0.5</v>
      </c>
      <c r="AA360" s="5">
        <v>0.2</v>
      </c>
      <c r="AB360" s="5">
        <v>0.5</v>
      </c>
      <c r="AC360" s="5">
        <v>0.8</v>
      </c>
      <c r="AD360" s="5">
        <v>3.8</v>
      </c>
    </row>
    <row r="361" spans="1:30" x14ac:dyDescent="0.25">
      <c r="A361" s="5">
        <v>3610</v>
      </c>
      <c r="B361" s="5" t="s">
        <v>423</v>
      </c>
      <c r="C361" s="5">
        <v>32</v>
      </c>
      <c r="D361" s="5" t="s">
        <v>81</v>
      </c>
      <c r="E361" s="5" t="s">
        <v>35</v>
      </c>
      <c r="F361" s="5">
        <v>25</v>
      </c>
      <c r="G361" s="5">
        <v>7</v>
      </c>
      <c r="H361" s="5">
        <v>14.7</v>
      </c>
      <c r="I361" s="5">
        <v>1.4</v>
      </c>
      <c r="J361" s="5">
        <v>3.2</v>
      </c>
      <c r="K361" s="6">
        <f>IFERROR(database_24_25!$I361/database_24_25!$J361,0)</f>
        <v>0.43749999999999994</v>
      </c>
      <c r="L361" s="5">
        <v>0.2</v>
      </c>
      <c r="M361" s="5">
        <v>1</v>
      </c>
      <c r="N361" s="6">
        <f>IFERROR(database_24_25!$L361/database_24_25!$M361,0)</f>
        <v>0.2</v>
      </c>
      <c r="O361" s="5">
        <v>1.2</v>
      </c>
      <c r="P361" s="5">
        <f>database_24_25!$Q361/10</f>
        <v>2.2000000000000002</v>
      </c>
      <c r="Q361" s="5">
        <v>22</v>
      </c>
      <c r="R361" s="6">
        <f>IFERROR(database_24_25!$O361/database_24_25!$P361,0)</f>
        <v>0.54545454545454541</v>
      </c>
      <c r="S361" s="5">
        <v>0.8</v>
      </c>
      <c r="T361" s="5">
        <v>0.9</v>
      </c>
      <c r="U361" s="6">
        <f>IFERROR(database_24_25!$S361/database_24_25!$T361,0)</f>
        <v>0.88888888888888895</v>
      </c>
      <c r="V361" s="5">
        <v>0.8</v>
      </c>
      <c r="W361" s="5">
        <v>2.8</v>
      </c>
      <c r="X361" s="5">
        <v>3.7</v>
      </c>
      <c r="Y361" s="5">
        <v>1.4</v>
      </c>
      <c r="Z361" s="5">
        <v>0.4</v>
      </c>
      <c r="AA361" s="5">
        <v>0.6</v>
      </c>
      <c r="AB361" s="5">
        <v>0.7</v>
      </c>
      <c r="AC361" s="5">
        <v>1.8</v>
      </c>
      <c r="AD361" s="5">
        <v>3.8</v>
      </c>
    </row>
    <row r="362" spans="1:30" x14ac:dyDescent="0.25">
      <c r="A362" s="7">
        <v>3600</v>
      </c>
      <c r="B362" s="7" t="s">
        <v>422</v>
      </c>
      <c r="C362" s="7">
        <v>24</v>
      </c>
      <c r="D362" s="7" t="s">
        <v>88</v>
      </c>
      <c r="E362" s="7" t="s">
        <v>58</v>
      </c>
      <c r="F362" s="7">
        <v>8</v>
      </c>
      <c r="G362" s="7">
        <v>0</v>
      </c>
      <c r="H362" s="7">
        <v>12.3</v>
      </c>
      <c r="I362" s="7">
        <v>1.1000000000000001</v>
      </c>
      <c r="J362" s="7">
        <v>2.9</v>
      </c>
      <c r="K362" s="6">
        <f>IFERROR(database_24_25!$I362/database_24_25!$J362,0)</f>
        <v>0.37931034482758624</v>
      </c>
      <c r="L362" s="7">
        <v>0.5</v>
      </c>
      <c r="M362" s="7">
        <v>1.5</v>
      </c>
      <c r="N362" s="6">
        <f>IFERROR(database_24_25!$L362/database_24_25!$M362,0)</f>
        <v>0.33333333333333331</v>
      </c>
      <c r="O362" s="7">
        <v>0.6</v>
      </c>
      <c r="P362" s="5">
        <f>database_24_25!$Q362/10</f>
        <v>1.4</v>
      </c>
      <c r="Q362" s="7">
        <v>14</v>
      </c>
      <c r="R362" s="6">
        <f>IFERROR(database_24_25!$O362/database_24_25!$P362,0)</f>
        <v>0.4285714285714286</v>
      </c>
      <c r="S362" s="7">
        <v>1</v>
      </c>
      <c r="T362" s="7">
        <v>1</v>
      </c>
      <c r="U362" s="6">
        <f>IFERROR(database_24_25!$S362/database_24_25!$T362,0)</f>
        <v>1</v>
      </c>
      <c r="V362" s="7">
        <v>0.6</v>
      </c>
      <c r="W362" s="7">
        <v>1.4</v>
      </c>
      <c r="X362" s="7">
        <v>2</v>
      </c>
      <c r="Y362" s="7">
        <v>1.8</v>
      </c>
      <c r="Z362" s="7">
        <v>0.4</v>
      </c>
      <c r="AA362" s="7">
        <v>0.1</v>
      </c>
      <c r="AB362" s="7">
        <v>0.6</v>
      </c>
      <c r="AC362" s="7">
        <v>1.3</v>
      </c>
      <c r="AD362" s="7">
        <v>3.8</v>
      </c>
    </row>
    <row r="363" spans="1:30" x14ac:dyDescent="0.25">
      <c r="A363" s="5">
        <v>3640</v>
      </c>
      <c r="B363" s="5" t="s">
        <v>426</v>
      </c>
      <c r="C363" s="5">
        <v>33</v>
      </c>
      <c r="D363" s="5" t="s">
        <v>47</v>
      </c>
      <c r="E363" s="5" t="s">
        <v>65</v>
      </c>
      <c r="F363" s="5">
        <v>23</v>
      </c>
      <c r="G363" s="5">
        <v>3</v>
      </c>
      <c r="H363" s="5">
        <v>9.1</v>
      </c>
      <c r="I363" s="5">
        <v>1.3</v>
      </c>
      <c r="J363" s="5">
        <v>3.1</v>
      </c>
      <c r="K363" s="6">
        <f>IFERROR(database_24_25!$I363/database_24_25!$J363,0)</f>
        <v>0.41935483870967744</v>
      </c>
      <c r="L363" s="5">
        <v>1</v>
      </c>
      <c r="M363" s="5">
        <v>2.7</v>
      </c>
      <c r="N363" s="6">
        <f>IFERROR(database_24_25!$L363/database_24_25!$M363,0)</f>
        <v>0.37037037037037035</v>
      </c>
      <c r="O363" s="5">
        <v>0.2</v>
      </c>
      <c r="P363" s="5">
        <f>database_24_25!$Q363/10</f>
        <v>0.4</v>
      </c>
      <c r="Q363" s="5">
        <v>4</v>
      </c>
      <c r="R363" s="6">
        <f>IFERROR(database_24_25!$O363/database_24_25!$P363,0)</f>
        <v>0.5</v>
      </c>
      <c r="S363" s="5">
        <v>0.1</v>
      </c>
      <c r="T363" s="5">
        <v>0.2</v>
      </c>
      <c r="U363" s="6">
        <f>IFERROR(database_24_25!$S363/database_24_25!$T363,0)</f>
        <v>0.5</v>
      </c>
      <c r="V363" s="5">
        <v>0.1</v>
      </c>
      <c r="W363" s="5">
        <v>0.6</v>
      </c>
      <c r="X363" s="5">
        <v>0.7</v>
      </c>
      <c r="Y363" s="5">
        <v>0.1</v>
      </c>
      <c r="Z363" s="5">
        <v>0.2</v>
      </c>
      <c r="AA363" s="5">
        <v>0</v>
      </c>
      <c r="AB363" s="5">
        <v>0.1</v>
      </c>
      <c r="AC363" s="5">
        <v>0.9</v>
      </c>
      <c r="AD363" s="5">
        <v>3.7</v>
      </c>
    </row>
    <row r="364" spans="1:30" x14ac:dyDescent="0.25">
      <c r="A364" s="7">
        <v>3620</v>
      </c>
      <c r="B364" s="7" t="s">
        <v>424</v>
      </c>
      <c r="C364" s="7">
        <v>20</v>
      </c>
      <c r="D364" s="7" t="s">
        <v>63</v>
      </c>
      <c r="E364" s="7" t="s">
        <v>32</v>
      </c>
      <c r="F364" s="7">
        <v>15</v>
      </c>
      <c r="G364" s="7">
        <v>0</v>
      </c>
      <c r="H364" s="7">
        <v>8.5</v>
      </c>
      <c r="I364" s="7">
        <v>1.5</v>
      </c>
      <c r="J364" s="7">
        <v>3.4</v>
      </c>
      <c r="K364" s="6">
        <f>IFERROR(database_24_25!$I364/database_24_25!$J364,0)</f>
        <v>0.44117647058823528</v>
      </c>
      <c r="L364" s="7">
        <v>0.6</v>
      </c>
      <c r="M364" s="7">
        <v>1.4</v>
      </c>
      <c r="N364" s="6">
        <f>IFERROR(database_24_25!$L364/database_24_25!$M364,0)</f>
        <v>0.4285714285714286</v>
      </c>
      <c r="O364" s="7">
        <v>0.9</v>
      </c>
      <c r="P364" s="5">
        <f>database_24_25!$Q364/10</f>
        <v>2</v>
      </c>
      <c r="Q364" s="7">
        <v>20</v>
      </c>
      <c r="R364" s="6">
        <f>IFERROR(database_24_25!$O364/database_24_25!$P364,0)</f>
        <v>0.45</v>
      </c>
      <c r="S364" s="7">
        <v>0</v>
      </c>
      <c r="T364" s="7">
        <v>0</v>
      </c>
      <c r="U364" s="6">
        <f>IFERROR(database_24_25!$S364/database_24_25!$T364,0)</f>
        <v>0</v>
      </c>
      <c r="V364" s="7">
        <v>0.1</v>
      </c>
      <c r="W364" s="7">
        <v>0.7</v>
      </c>
      <c r="X364" s="7">
        <v>0.7</v>
      </c>
      <c r="Y364" s="7">
        <v>1.7</v>
      </c>
      <c r="Z364" s="7">
        <v>0.1</v>
      </c>
      <c r="AA364" s="7">
        <v>0</v>
      </c>
      <c r="AB364" s="7">
        <v>1.1000000000000001</v>
      </c>
      <c r="AC364" s="7">
        <v>0.3</v>
      </c>
      <c r="AD364" s="7">
        <v>3.7</v>
      </c>
    </row>
    <row r="365" spans="1:30" x14ac:dyDescent="0.25">
      <c r="A365" s="7">
        <v>3630</v>
      </c>
      <c r="B365" s="7" t="s">
        <v>425</v>
      </c>
      <c r="C365" s="7">
        <v>28</v>
      </c>
      <c r="D365" s="7" t="s">
        <v>110</v>
      </c>
      <c r="E365" s="7" t="s">
        <v>32</v>
      </c>
      <c r="F365" s="7">
        <v>23</v>
      </c>
      <c r="G365" s="7">
        <v>0</v>
      </c>
      <c r="H365" s="7">
        <v>9.9</v>
      </c>
      <c r="I365" s="7">
        <v>1.3</v>
      </c>
      <c r="J365" s="7">
        <v>2.9</v>
      </c>
      <c r="K365" s="6">
        <f>IFERROR(database_24_25!$I365/database_24_25!$J365,0)</f>
        <v>0.44827586206896552</v>
      </c>
      <c r="L365" s="7">
        <v>0.7</v>
      </c>
      <c r="M365" s="7">
        <v>1.9</v>
      </c>
      <c r="N365" s="6">
        <f>IFERROR(database_24_25!$L365/database_24_25!$M365,0)</f>
        <v>0.36842105263157893</v>
      </c>
      <c r="O365" s="7">
        <v>0.5</v>
      </c>
      <c r="P365" s="5">
        <f>database_24_25!$Q365/10</f>
        <v>1</v>
      </c>
      <c r="Q365" s="7">
        <v>10</v>
      </c>
      <c r="R365" s="6">
        <f>IFERROR(database_24_25!$O365/database_24_25!$P365,0)</f>
        <v>0.5</v>
      </c>
      <c r="S365" s="7">
        <v>0.5</v>
      </c>
      <c r="T365" s="7">
        <v>0.6</v>
      </c>
      <c r="U365" s="6">
        <f>IFERROR(database_24_25!$S365/database_24_25!$T365,0)</f>
        <v>0.83333333333333337</v>
      </c>
      <c r="V365" s="7">
        <v>0.1</v>
      </c>
      <c r="W365" s="7">
        <v>0.9</v>
      </c>
      <c r="X365" s="7">
        <v>1</v>
      </c>
      <c r="Y365" s="7">
        <v>1.1000000000000001</v>
      </c>
      <c r="Z365" s="7">
        <v>0.3</v>
      </c>
      <c r="AA365" s="7">
        <v>0.1</v>
      </c>
      <c r="AB365" s="7">
        <v>0.3</v>
      </c>
      <c r="AC365" s="7">
        <v>0.8</v>
      </c>
      <c r="AD365" s="7">
        <v>3.7</v>
      </c>
    </row>
    <row r="366" spans="1:30" x14ac:dyDescent="0.25">
      <c r="A366" s="7">
        <v>3680</v>
      </c>
      <c r="B366" s="7" t="s">
        <v>430</v>
      </c>
      <c r="C366" s="7">
        <v>36</v>
      </c>
      <c r="D366" s="7" t="s">
        <v>114</v>
      </c>
      <c r="E366" s="7" t="s">
        <v>32</v>
      </c>
      <c r="F366" s="7">
        <v>9</v>
      </c>
      <c r="G366" s="7">
        <v>0</v>
      </c>
      <c r="H366" s="7">
        <v>15.3</v>
      </c>
      <c r="I366" s="7">
        <v>1.2</v>
      </c>
      <c r="J366" s="7">
        <v>3.4</v>
      </c>
      <c r="K366" s="6">
        <f>IFERROR(database_24_25!$I366/database_24_25!$J366,0)</f>
        <v>0.35294117647058826</v>
      </c>
      <c r="L366" s="7">
        <v>0.8</v>
      </c>
      <c r="M366" s="7">
        <v>2.7</v>
      </c>
      <c r="N366" s="6">
        <f>IFERROR(database_24_25!$L366/database_24_25!$M366,0)</f>
        <v>0.29629629629629628</v>
      </c>
      <c r="O366" s="7">
        <v>0.4</v>
      </c>
      <c r="P366" s="5">
        <f>database_24_25!$Q366/10</f>
        <v>0.8</v>
      </c>
      <c r="Q366" s="7">
        <v>8</v>
      </c>
      <c r="R366" s="6">
        <f>IFERROR(database_24_25!$O366/database_24_25!$P366,0)</f>
        <v>0.5</v>
      </c>
      <c r="S366" s="7">
        <v>0.3</v>
      </c>
      <c r="T366" s="7">
        <v>0.3</v>
      </c>
      <c r="U366" s="6">
        <f>IFERROR(database_24_25!$S366/database_24_25!$T366,0)</f>
        <v>1</v>
      </c>
      <c r="V366" s="7">
        <v>0.1</v>
      </c>
      <c r="W366" s="7">
        <v>0.8</v>
      </c>
      <c r="X366" s="7">
        <v>0.9</v>
      </c>
      <c r="Y366" s="7">
        <v>1.4</v>
      </c>
      <c r="Z366" s="7">
        <v>0.7</v>
      </c>
      <c r="AA366" s="7">
        <v>0.2</v>
      </c>
      <c r="AB366" s="7">
        <v>0.9</v>
      </c>
      <c r="AC366" s="7">
        <v>0.9</v>
      </c>
      <c r="AD366" s="7">
        <v>3.6</v>
      </c>
    </row>
    <row r="367" spans="1:30" x14ac:dyDescent="0.25">
      <c r="A367" s="5">
        <v>3660</v>
      </c>
      <c r="B367" s="5" t="s">
        <v>428</v>
      </c>
      <c r="C367" s="5">
        <v>24</v>
      </c>
      <c r="D367" s="5" t="s">
        <v>47</v>
      </c>
      <c r="E367" s="5" t="s">
        <v>27</v>
      </c>
      <c r="F367" s="5">
        <v>21</v>
      </c>
      <c r="G367" s="5">
        <v>0</v>
      </c>
      <c r="H367" s="5">
        <v>8.1999999999999993</v>
      </c>
      <c r="I367" s="5">
        <v>1.5</v>
      </c>
      <c r="J367" s="5">
        <v>2.2999999999999998</v>
      </c>
      <c r="K367" s="6">
        <f>IFERROR(database_24_25!$I367/database_24_25!$J367,0)</f>
        <v>0.65217391304347827</v>
      </c>
      <c r="L367" s="5">
        <v>0</v>
      </c>
      <c r="M367" s="5">
        <v>0.2</v>
      </c>
      <c r="N367" s="6">
        <f>IFERROR(database_24_25!$L367/database_24_25!$M367,0)</f>
        <v>0</v>
      </c>
      <c r="O367" s="5">
        <v>1.5</v>
      </c>
      <c r="P367" s="5">
        <f>database_24_25!$Q367/10</f>
        <v>2.1</v>
      </c>
      <c r="Q367" s="5">
        <v>21</v>
      </c>
      <c r="R367" s="6">
        <f>IFERROR(database_24_25!$O367/database_24_25!$P367,0)</f>
        <v>0.7142857142857143</v>
      </c>
      <c r="S367" s="5">
        <v>0.5</v>
      </c>
      <c r="T367" s="5">
        <v>1</v>
      </c>
      <c r="U367" s="6">
        <f>IFERROR(database_24_25!$S367/database_24_25!$T367,0)</f>
        <v>0.5</v>
      </c>
      <c r="V367" s="5">
        <v>0.5</v>
      </c>
      <c r="W367" s="5">
        <v>1</v>
      </c>
      <c r="X367" s="5">
        <v>1.5</v>
      </c>
      <c r="Y367" s="5">
        <v>0.2</v>
      </c>
      <c r="Z367" s="5">
        <v>0.1</v>
      </c>
      <c r="AA367" s="5">
        <v>0.4</v>
      </c>
      <c r="AB367" s="5">
        <v>0.5</v>
      </c>
      <c r="AC367" s="5">
        <v>1</v>
      </c>
      <c r="AD367" s="5">
        <v>3.6</v>
      </c>
    </row>
    <row r="368" spans="1:30" x14ac:dyDescent="0.25">
      <c r="A368" s="5">
        <v>3650</v>
      </c>
      <c r="B368" s="5" t="s">
        <v>427</v>
      </c>
      <c r="C368" s="5">
        <v>23</v>
      </c>
      <c r="D368" s="5" t="s">
        <v>29</v>
      </c>
      <c r="E368" s="5" t="s">
        <v>58</v>
      </c>
      <c r="F368" s="5">
        <v>31</v>
      </c>
      <c r="G368" s="5">
        <v>23</v>
      </c>
      <c r="H368" s="5">
        <v>18.100000000000001</v>
      </c>
      <c r="I368" s="5">
        <v>1.4</v>
      </c>
      <c r="J368" s="5">
        <v>3.5</v>
      </c>
      <c r="K368" s="6">
        <f>IFERROR(database_24_25!$I368/database_24_25!$J368,0)</f>
        <v>0.39999999999999997</v>
      </c>
      <c r="L368" s="5">
        <v>0.6</v>
      </c>
      <c r="M368" s="5">
        <v>1.6</v>
      </c>
      <c r="N368" s="6">
        <f>IFERROR(database_24_25!$L368/database_24_25!$M368,0)</f>
        <v>0.37499999999999994</v>
      </c>
      <c r="O368" s="5">
        <v>0.8</v>
      </c>
      <c r="P368" s="5">
        <f>database_24_25!$Q368/10</f>
        <v>1.8</v>
      </c>
      <c r="Q368" s="5">
        <v>18</v>
      </c>
      <c r="R368" s="6">
        <f>IFERROR(database_24_25!$O368/database_24_25!$P368,0)</f>
        <v>0.44444444444444448</v>
      </c>
      <c r="S368" s="5">
        <v>0.2</v>
      </c>
      <c r="T368" s="5">
        <v>0.4</v>
      </c>
      <c r="U368" s="6">
        <f>IFERROR(database_24_25!$S368/database_24_25!$T368,0)</f>
        <v>0.5</v>
      </c>
      <c r="V368" s="5">
        <v>0.9</v>
      </c>
      <c r="W368" s="5">
        <v>2.2000000000000002</v>
      </c>
      <c r="X368" s="5">
        <v>3.1</v>
      </c>
      <c r="Y368" s="5">
        <v>1.4</v>
      </c>
      <c r="Z368" s="5">
        <v>0.6</v>
      </c>
      <c r="AA368" s="5">
        <v>0.2</v>
      </c>
      <c r="AB368" s="5">
        <v>1.2</v>
      </c>
      <c r="AC368" s="5">
        <v>2.4</v>
      </c>
      <c r="AD368" s="5">
        <v>3.6</v>
      </c>
    </row>
    <row r="369" spans="1:30" x14ac:dyDescent="0.25">
      <c r="A369" s="7">
        <v>3690</v>
      </c>
      <c r="B369" s="7" t="s">
        <v>431</v>
      </c>
      <c r="C369" s="7">
        <v>25</v>
      </c>
      <c r="D369" s="7" t="s">
        <v>43</v>
      </c>
      <c r="E369" s="7" t="s">
        <v>32</v>
      </c>
      <c r="F369" s="7">
        <v>8</v>
      </c>
      <c r="G369" s="7">
        <v>0</v>
      </c>
      <c r="H369" s="7">
        <v>7.9</v>
      </c>
      <c r="I369" s="7">
        <v>1.3</v>
      </c>
      <c r="J369" s="7">
        <v>3</v>
      </c>
      <c r="K369" s="6">
        <f>IFERROR(database_24_25!$I369/database_24_25!$J369,0)</f>
        <v>0.43333333333333335</v>
      </c>
      <c r="L369" s="7">
        <v>0.3</v>
      </c>
      <c r="M369" s="7">
        <v>1</v>
      </c>
      <c r="N369" s="6">
        <f>IFERROR(database_24_25!$L369/database_24_25!$M369,0)</f>
        <v>0.3</v>
      </c>
      <c r="O369" s="7">
        <v>1</v>
      </c>
      <c r="P369" s="5">
        <f>database_24_25!$Q369/10</f>
        <v>2</v>
      </c>
      <c r="Q369" s="7">
        <v>20</v>
      </c>
      <c r="R369" s="6">
        <f>IFERROR(database_24_25!$O369/database_24_25!$P369,0)</f>
        <v>0.5</v>
      </c>
      <c r="S369" s="7">
        <v>0.9</v>
      </c>
      <c r="T369" s="7">
        <v>1.1000000000000001</v>
      </c>
      <c r="U369" s="6">
        <f>IFERROR(database_24_25!$S369/database_24_25!$T369,0)</f>
        <v>0.81818181818181812</v>
      </c>
      <c r="V369" s="7">
        <v>0.3</v>
      </c>
      <c r="W369" s="7">
        <v>0.8</v>
      </c>
      <c r="X369" s="7">
        <v>1</v>
      </c>
      <c r="Y369" s="7">
        <v>0.8</v>
      </c>
      <c r="Z369" s="7">
        <v>0.1</v>
      </c>
      <c r="AA369" s="7">
        <v>0</v>
      </c>
      <c r="AB369" s="7">
        <v>0.6</v>
      </c>
      <c r="AC369" s="7">
        <v>0.5</v>
      </c>
      <c r="AD369" s="7">
        <v>3.6</v>
      </c>
    </row>
    <row r="370" spans="1:30" x14ac:dyDescent="0.25">
      <c r="A370" s="5">
        <v>3670</v>
      </c>
      <c r="B370" s="5" t="s">
        <v>429</v>
      </c>
      <c r="C370" s="5">
        <v>24</v>
      </c>
      <c r="D370" s="5" t="s">
        <v>84</v>
      </c>
      <c r="E370" s="5" t="s">
        <v>32</v>
      </c>
      <c r="F370" s="5">
        <v>20</v>
      </c>
      <c r="G370" s="5">
        <v>3</v>
      </c>
      <c r="H370" s="5">
        <v>14.7</v>
      </c>
      <c r="I370" s="5">
        <v>1.3</v>
      </c>
      <c r="J370" s="5">
        <v>3.6</v>
      </c>
      <c r="K370" s="6">
        <f>IFERROR(database_24_25!$I370/database_24_25!$J370,0)</f>
        <v>0.3611111111111111</v>
      </c>
      <c r="L370" s="5">
        <v>0.6</v>
      </c>
      <c r="M370" s="5">
        <v>2.2000000000000002</v>
      </c>
      <c r="N370" s="6">
        <f>IFERROR(database_24_25!$L370/database_24_25!$M370,0)</f>
        <v>0.27272727272727271</v>
      </c>
      <c r="O370" s="5">
        <v>0.7</v>
      </c>
      <c r="P370" s="5">
        <f>database_24_25!$Q370/10</f>
        <v>1.4</v>
      </c>
      <c r="Q370" s="5">
        <v>14</v>
      </c>
      <c r="R370" s="6">
        <f>IFERROR(database_24_25!$O370/database_24_25!$P370,0)</f>
        <v>0.5</v>
      </c>
      <c r="S370" s="5">
        <v>0.5</v>
      </c>
      <c r="T370" s="5">
        <v>0.7</v>
      </c>
      <c r="U370" s="6">
        <f>IFERROR(database_24_25!$S370/database_24_25!$T370,0)</f>
        <v>0.7142857142857143</v>
      </c>
      <c r="V370" s="5">
        <v>0.5</v>
      </c>
      <c r="W370" s="5">
        <v>1.6</v>
      </c>
      <c r="X370" s="5">
        <v>2.1</v>
      </c>
      <c r="Y370" s="5">
        <v>2.1</v>
      </c>
      <c r="Z370" s="5">
        <v>0.6</v>
      </c>
      <c r="AA370" s="5">
        <v>0.4</v>
      </c>
      <c r="AB370" s="5">
        <v>0.8</v>
      </c>
      <c r="AC370" s="5">
        <v>1.8</v>
      </c>
      <c r="AD370" s="5">
        <v>3.6</v>
      </c>
    </row>
    <row r="371" spans="1:30" x14ac:dyDescent="0.25">
      <c r="A371" s="5">
        <v>3730</v>
      </c>
      <c r="B371" s="5" t="s">
        <v>435</v>
      </c>
      <c r="C371" s="5">
        <v>20</v>
      </c>
      <c r="D371" s="5" t="s">
        <v>114</v>
      </c>
      <c r="E371" s="5" t="s">
        <v>58</v>
      </c>
      <c r="F371" s="5">
        <v>19</v>
      </c>
      <c r="G371" s="5">
        <v>8</v>
      </c>
      <c r="H371" s="5">
        <v>19.2</v>
      </c>
      <c r="I371" s="5">
        <v>1.3</v>
      </c>
      <c r="J371" s="5">
        <v>4.0999999999999996</v>
      </c>
      <c r="K371" s="6">
        <f>IFERROR(database_24_25!$I371/database_24_25!$J371,0)</f>
        <v>0.31707317073170738</v>
      </c>
      <c r="L371" s="5">
        <v>0.5</v>
      </c>
      <c r="M371" s="5">
        <v>2.2000000000000002</v>
      </c>
      <c r="N371" s="6">
        <f>IFERROR(database_24_25!$L371/database_24_25!$M371,0)</f>
        <v>0.22727272727272727</v>
      </c>
      <c r="O371" s="5">
        <v>0.7</v>
      </c>
      <c r="P371" s="5">
        <f>database_24_25!$Q371/10</f>
        <v>1.8</v>
      </c>
      <c r="Q371" s="5">
        <v>18</v>
      </c>
      <c r="R371" s="6">
        <f>IFERROR(database_24_25!$O371/database_24_25!$P371,0)</f>
        <v>0.38888888888888884</v>
      </c>
      <c r="S371" s="5">
        <v>0.5</v>
      </c>
      <c r="T371" s="5">
        <v>0.7</v>
      </c>
      <c r="U371" s="6">
        <f>IFERROR(database_24_25!$S371/database_24_25!$T371,0)</f>
        <v>0.7142857142857143</v>
      </c>
      <c r="V371" s="5">
        <v>0.5</v>
      </c>
      <c r="W371" s="5">
        <v>1.8</v>
      </c>
      <c r="X371" s="5">
        <v>2.2999999999999998</v>
      </c>
      <c r="Y371" s="5">
        <v>1.2</v>
      </c>
      <c r="Z371" s="5">
        <v>0.4</v>
      </c>
      <c r="AA371" s="5">
        <v>0.3</v>
      </c>
      <c r="AB371" s="5">
        <v>0.8</v>
      </c>
      <c r="AC371" s="5">
        <v>1.6</v>
      </c>
      <c r="AD371" s="5">
        <v>3.5</v>
      </c>
    </row>
    <row r="372" spans="1:30" x14ac:dyDescent="0.25">
      <c r="A372" s="7">
        <v>3720</v>
      </c>
      <c r="B372" s="7" t="s">
        <v>434</v>
      </c>
      <c r="C372" s="7">
        <v>22</v>
      </c>
      <c r="D372" s="7" t="s">
        <v>124</v>
      </c>
      <c r="E372" s="7" t="s">
        <v>65</v>
      </c>
      <c r="F372" s="7">
        <v>24</v>
      </c>
      <c r="G372" s="7">
        <v>1</v>
      </c>
      <c r="H372" s="7">
        <v>10.3</v>
      </c>
      <c r="I372" s="7">
        <v>1.4</v>
      </c>
      <c r="J372" s="7">
        <v>3.2</v>
      </c>
      <c r="K372" s="6">
        <f>IFERROR(database_24_25!$I372/database_24_25!$J372,0)</f>
        <v>0.43749999999999994</v>
      </c>
      <c r="L372" s="7">
        <v>0.2</v>
      </c>
      <c r="M372" s="7">
        <v>0.9</v>
      </c>
      <c r="N372" s="6">
        <f>IFERROR(database_24_25!$L372/database_24_25!$M372,0)</f>
        <v>0.22222222222222224</v>
      </c>
      <c r="O372" s="7">
        <v>1.3</v>
      </c>
      <c r="P372" s="5">
        <f>database_24_25!$Q372/10</f>
        <v>2.2999999999999998</v>
      </c>
      <c r="Q372" s="7">
        <v>23</v>
      </c>
      <c r="R372" s="6">
        <f>IFERROR(database_24_25!$O372/database_24_25!$P372,0)</f>
        <v>0.56521739130434789</v>
      </c>
      <c r="S372" s="7">
        <v>0.5</v>
      </c>
      <c r="T372" s="7">
        <v>0.8</v>
      </c>
      <c r="U372" s="6">
        <f>IFERROR(database_24_25!$S372/database_24_25!$T372,0)</f>
        <v>0.625</v>
      </c>
      <c r="V372" s="7">
        <v>0.9</v>
      </c>
      <c r="W372" s="7">
        <v>2.1</v>
      </c>
      <c r="X372" s="7">
        <v>3</v>
      </c>
      <c r="Y372" s="7">
        <v>0.5</v>
      </c>
      <c r="Z372" s="7">
        <v>0.3</v>
      </c>
      <c r="AA372" s="7">
        <v>0.1</v>
      </c>
      <c r="AB372" s="7">
        <v>0.5</v>
      </c>
      <c r="AC372" s="7">
        <v>1.1000000000000001</v>
      </c>
      <c r="AD372" s="7">
        <v>3.5</v>
      </c>
    </row>
    <row r="373" spans="1:30" x14ac:dyDescent="0.25">
      <c r="A373" s="7">
        <v>3710</v>
      </c>
      <c r="B373" s="7" t="s">
        <v>433</v>
      </c>
      <c r="C373" s="7">
        <v>25</v>
      </c>
      <c r="D373" s="7" t="s">
        <v>51</v>
      </c>
      <c r="E373" s="7" t="s">
        <v>65</v>
      </c>
      <c r="F373" s="7">
        <v>27</v>
      </c>
      <c r="G373" s="7">
        <v>8</v>
      </c>
      <c r="H373" s="7">
        <v>19.3</v>
      </c>
      <c r="I373" s="7">
        <v>1.3</v>
      </c>
      <c r="J373" s="7">
        <v>2.9</v>
      </c>
      <c r="K373" s="6">
        <f>IFERROR(database_24_25!$I373/database_24_25!$J373,0)</f>
        <v>0.44827586206896552</v>
      </c>
      <c r="L373" s="7">
        <v>0.4</v>
      </c>
      <c r="M373" s="7">
        <v>1.5</v>
      </c>
      <c r="N373" s="6">
        <f>IFERROR(database_24_25!$L373/database_24_25!$M373,0)</f>
        <v>0.26666666666666666</v>
      </c>
      <c r="O373" s="7">
        <v>0.9</v>
      </c>
      <c r="P373" s="5">
        <f>database_24_25!$Q373/10</f>
        <v>1.4</v>
      </c>
      <c r="Q373" s="7">
        <v>14</v>
      </c>
      <c r="R373" s="6">
        <f>IFERROR(database_24_25!$O373/database_24_25!$P373,0)</f>
        <v>0.6428571428571429</v>
      </c>
      <c r="S373" s="7">
        <v>0.5</v>
      </c>
      <c r="T373" s="7">
        <v>0.8</v>
      </c>
      <c r="U373" s="6">
        <f>IFERROR(database_24_25!$S373/database_24_25!$T373,0)</f>
        <v>0.625</v>
      </c>
      <c r="V373" s="7">
        <v>0.5</v>
      </c>
      <c r="W373" s="7">
        <v>1.6</v>
      </c>
      <c r="X373" s="7">
        <v>2.1</v>
      </c>
      <c r="Y373" s="7">
        <v>0.8</v>
      </c>
      <c r="Z373" s="7">
        <v>1.1000000000000001</v>
      </c>
      <c r="AA373" s="7">
        <v>0.4</v>
      </c>
      <c r="AB373" s="7">
        <v>0.4</v>
      </c>
      <c r="AC373" s="7">
        <v>1.5</v>
      </c>
      <c r="AD373" s="7">
        <v>3.5</v>
      </c>
    </row>
    <row r="374" spans="1:30" x14ac:dyDescent="0.25">
      <c r="A374" s="5">
        <v>3700</v>
      </c>
      <c r="B374" s="5" t="s">
        <v>432</v>
      </c>
      <c r="C374" s="5">
        <v>29</v>
      </c>
      <c r="D374" s="5" t="s">
        <v>90</v>
      </c>
      <c r="E374" s="5" t="s">
        <v>32</v>
      </c>
      <c r="F374" s="5">
        <v>16</v>
      </c>
      <c r="G374" s="5">
        <v>0</v>
      </c>
      <c r="H374" s="5">
        <v>6.7</v>
      </c>
      <c r="I374" s="5">
        <v>1.3</v>
      </c>
      <c r="J374" s="5">
        <v>2.8</v>
      </c>
      <c r="K374" s="6">
        <f>IFERROR(database_24_25!$I374/database_24_25!$J374,0)</f>
        <v>0.46428571428571436</v>
      </c>
      <c r="L374" s="5">
        <v>0.8</v>
      </c>
      <c r="M374" s="5">
        <v>1.9</v>
      </c>
      <c r="N374" s="6">
        <f>IFERROR(database_24_25!$L374/database_24_25!$M374,0)</f>
        <v>0.4210526315789474</v>
      </c>
      <c r="O374" s="5">
        <v>0.4</v>
      </c>
      <c r="P374" s="5">
        <f>database_24_25!$Q374/10</f>
        <v>0.9</v>
      </c>
      <c r="Q374" s="5">
        <v>9</v>
      </c>
      <c r="R374" s="6">
        <f>IFERROR(database_24_25!$O374/database_24_25!$P374,0)</f>
        <v>0.44444444444444448</v>
      </c>
      <c r="S374" s="5">
        <v>0.2</v>
      </c>
      <c r="T374" s="5">
        <v>0.3</v>
      </c>
      <c r="U374" s="6">
        <f>IFERROR(database_24_25!$S374/database_24_25!$T374,0)</f>
        <v>0.66666666666666674</v>
      </c>
      <c r="V374" s="5">
        <v>0.1</v>
      </c>
      <c r="W374" s="5">
        <v>0.8</v>
      </c>
      <c r="X374" s="5">
        <v>0.9</v>
      </c>
      <c r="Y374" s="5">
        <v>0.9</v>
      </c>
      <c r="Z374" s="5">
        <v>0.3</v>
      </c>
      <c r="AA374" s="5">
        <v>0</v>
      </c>
      <c r="AB374" s="5">
        <v>0.4</v>
      </c>
      <c r="AC374" s="5">
        <v>0.3</v>
      </c>
      <c r="AD374" s="5">
        <v>3.5</v>
      </c>
    </row>
    <row r="375" spans="1:30" x14ac:dyDescent="0.25">
      <c r="A375" s="7">
        <v>3760</v>
      </c>
      <c r="B375" s="7" t="s">
        <v>438</v>
      </c>
      <c r="C375" s="7">
        <v>26</v>
      </c>
      <c r="D375" s="7" t="s">
        <v>77</v>
      </c>
      <c r="E375" s="7" t="s">
        <v>35</v>
      </c>
      <c r="F375" s="7">
        <v>17</v>
      </c>
      <c r="G375" s="7">
        <v>2</v>
      </c>
      <c r="H375" s="7">
        <v>8.6</v>
      </c>
      <c r="I375" s="7">
        <v>1.5</v>
      </c>
      <c r="J375" s="7">
        <v>2.9</v>
      </c>
      <c r="K375" s="6">
        <f>IFERROR(database_24_25!$I375/database_24_25!$J375,0)</f>
        <v>0.51724137931034486</v>
      </c>
      <c r="L375" s="7">
        <v>0</v>
      </c>
      <c r="M375" s="7">
        <v>0</v>
      </c>
      <c r="N375" s="6">
        <f>IFERROR(database_24_25!$L375/database_24_25!$M375,0)</f>
        <v>0</v>
      </c>
      <c r="O375" s="7">
        <v>1.5</v>
      </c>
      <c r="P375" s="5">
        <f>database_24_25!$Q375/10</f>
        <v>2.9</v>
      </c>
      <c r="Q375" s="7">
        <v>29</v>
      </c>
      <c r="R375" s="6">
        <f>IFERROR(database_24_25!$O375/database_24_25!$P375,0)</f>
        <v>0.51724137931034486</v>
      </c>
      <c r="S375" s="7">
        <v>0.4</v>
      </c>
      <c r="T375" s="7">
        <v>0.5</v>
      </c>
      <c r="U375" s="6">
        <f>IFERROR(database_24_25!$S375/database_24_25!$T375,0)</f>
        <v>0.8</v>
      </c>
      <c r="V375" s="7">
        <v>1.2</v>
      </c>
      <c r="W375" s="7">
        <v>1.8</v>
      </c>
      <c r="X375" s="7">
        <v>3</v>
      </c>
      <c r="Y375" s="7">
        <v>1.1000000000000001</v>
      </c>
      <c r="Z375" s="7">
        <v>0.2</v>
      </c>
      <c r="AA375" s="7">
        <v>0.5</v>
      </c>
      <c r="AB375" s="7">
        <v>0.8</v>
      </c>
      <c r="AC375" s="7">
        <v>1.6</v>
      </c>
      <c r="AD375" s="7">
        <v>3.4</v>
      </c>
    </row>
    <row r="376" spans="1:30" x14ac:dyDescent="0.25">
      <c r="A376" s="5">
        <v>3770</v>
      </c>
      <c r="B376" s="5" t="s">
        <v>439</v>
      </c>
      <c r="C376" s="5">
        <v>25</v>
      </c>
      <c r="D376" s="5" t="s">
        <v>49</v>
      </c>
      <c r="E376" s="5" t="s">
        <v>32</v>
      </c>
      <c r="F376" s="5">
        <v>16</v>
      </c>
      <c r="G376" s="5">
        <v>0</v>
      </c>
      <c r="H376" s="5">
        <v>16.7</v>
      </c>
      <c r="I376" s="5">
        <v>1.2</v>
      </c>
      <c r="J376" s="5">
        <v>2.9</v>
      </c>
      <c r="K376" s="6">
        <f>IFERROR(database_24_25!$I376/database_24_25!$J376,0)</f>
        <v>0.41379310344827586</v>
      </c>
      <c r="L376" s="5">
        <v>0.2</v>
      </c>
      <c r="M376" s="5">
        <v>0.9</v>
      </c>
      <c r="N376" s="6">
        <f>IFERROR(database_24_25!$L376/database_24_25!$M376,0)</f>
        <v>0.22222222222222224</v>
      </c>
      <c r="O376" s="5">
        <v>1</v>
      </c>
      <c r="P376" s="5">
        <f>database_24_25!$Q376/10</f>
        <v>1.9</v>
      </c>
      <c r="Q376" s="5">
        <v>19</v>
      </c>
      <c r="R376" s="6">
        <f>IFERROR(database_24_25!$O376/database_24_25!$P376,0)</f>
        <v>0.52631578947368418</v>
      </c>
      <c r="S376" s="5">
        <v>0.8</v>
      </c>
      <c r="T376" s="5">
        <v>1.1000000000000001</v>
      </c>
      <c r="U376" s="6">
        <f>IFERROR(database_24_25!$S376/database_24_25!$T376,0)</f>
        <v>0.72727272727272729</v>
      </c>
      <c r="V376" s="5">
        <v>0.6</v>
      </c>
      <c r="W376" s="5">
        <v>1.7</v>
      </c>
      <c r="X376" s="5">
        <v>2.2999999999999998</v>
      </c>
      <c r="Y376" s="5">
        <v>3.8</v>
      </c>
      <c r="Z376" s="5">
        <v>0.6</v>
      </c>
      <c r="AA376" s="5">
        <v>0.3</v>
      </c>
      <c r="AB376" s="5">
        <v>0.8</v>
      </c>
      <c r="AC376" s="5">
        <v>1.3</v>
      </c>
      <c r="AD376" s="5">
        <v>3.4</v>
      </c>
    </row>
    <row r="377" spans="1:30" x14ac:dyDescent="0.25">
      <c r="A377" s="7">
        <v>3780</v>
      </c>
      <c r="B377" s="7" t="s">
        <v>440</v>
      </c>
      <c r="C377" s="7">
        <v>22</v>
      </c>
      <c r="D377" s="7" t="s">
        <v>63</v>
      </c>
      <c r="E377" s="7" t="s">
        <v>65</v>
      </c>
      <c r="F377" s="7">
        <v>20</v>
      </c>
      <c r="G377" s="7">
        <v>0</v>
      </c>
      <c r="H377" s="7">
        <v>7.7</v>
      </c>
      <c r="I377" s="7">
        <v>1.4</v>
      </c>
      <c r="J377" s="7">
        <v>2.4</v>
      </c>
      <c r="K377" s="6">
        <f>IFERROR(database_24_25!$I377/database_24_25!$J377,0)</f>
        <v>0.58333333333333337</v>
      </c>
      <c r="L377" s="7">
        <v>0.3</v>
      </c>
      <c r="M377" s="7">
        <v>1.1000000000000001</v>
      </c>
      <c r="N377" s="6">
        <f>IFERROR(database_24_25!$L377/database_24_25!$M377,0)</f>
        <v>0.27272727272727271</v>
      </c>
      <c r="O377" s="7">
        <v>1.1000000000000001</v>
      </c>
      <c r="P377" s="5">
        <f>database_24_25!$Q377/10</f>
        <v>1.4</v>
      </c>
      <c r="Q377" s="7">
        <v>14</v>
      </c>
      <c r="R377" s="6">
        <f>IFERROR(database_24_25!$O377/database_24_25!$P377,0)</f>
        <v>0.78571428571428581</v>
      </c>
      <c r="S377" s="7">
        <v>0.4</v>
      </c>
      <c r="T377" s="7">
        <v>0.5</v>
      </c>
      <c r="U377" s="6">
        <f>IFERROR(database_24_25!$S377/database_24_25!$T377,0)</f>
        <v>0.8</v>
      </c>
      <c r="V377" s="7">
        <v>0.3</v>
      </c>
      <c r="W377" s="7">
        <v>1.1000000000000001</v>
      </c>
      <c r="X377" s="7">
        <v>1.4</v>
      </c>
      <c r="Y377" s="7">
        <v>0.6</v>
      </c>
      <c r="Z377" s="7">
        <v>0.5</v>
      </c>
      <c r="AA377" s="7">
        <v>0.4</v>
      </c>
      <c r="AB377" s="7">
        <v>0.3</v>
      </c>
      <c r="AC377" s="7">
        <v>0.9</v>
      </c>
      <c r="AD377" s="7">
        <v>3.4</v>
      </c>
    </row>
    <row r="378" spans="1:30" x14ac:dyDescent="0.25">
      <c r="A378" s="7">
        <v>3740</v>
      </c>
      <c r="B378" s="7" t="s">
        <v>436</v>
      </c>
      <c r="C378" s="7">
        <v>36</v>
      </c>
      <c r="D378" s="7" t="s">
        <v>75</v>
      </c>
      <c r="E378" s="7" t="s">
        <v>27</v>
      </c>
      <c r="F378" s="7">
        <v>34</v>
      </c>
      <c r="G378" s="7">
        <v>1</v>
      </c>
      <c r="H378" s="7">
        <v>18.3</v>
      </c>
      <c r="I378" s="7">
        <v>1.1000000000000001</v>
      </c>
      <c r="J378" s="7">
        <v>2.9</v>
      </c>
      <c r="K378" s="6">
        <f>IFERROR(database_24_25!$I378/database_24_25!$J378,0)</f>
        <v>0.37931034482758624</v>
      </c>
      <c r="L378" s="7">
        <v>0.9</v>
      </c>
      <c r="M378" s="7">
        <v>2.4</v>
      </c>
      <c r="N378" s="6">
        <f>IFERROR(database_24_25!$L378/database_24_25!$M378,0)</f>
        <v>0.375</v>
      </c>
      <c r="O378" s="7">
        <v>0.2</v>
      </c>
      <c r="P378" s="5">
        <f>database_24_25!$Q378/10</f>
        <v>0.5</v>
      </c>
      <c r="Q378" s="7">
        <v>5</v>
      </c>
      <c r="R378" s="6">
        <f>IFERROR(database_24_25!$O378/database_24_25!$P378,0)</f>
        <v>0.4</v>
      </c>
      <c r="S378" s="7">
        <v>0.3</v>
      </c>
      <c r="T378" s="7">
        <v>0.4</v>
      </c>
      <c r="U378" s="6">
        <f>IFERROR(database_24_25!$S378/database_24_25!$T378,0)</f>
        <v>0.74999999999999989</v>
      </c>
      <c r="V378" s="7">
        <v>0.7</v>
      </c>
      <c r="W378" s="7">
        <v>2.1</v>
      </c>
      <c r="X378" s="7">
        <v>2.8</v>
      </c>
      <c r="Y378" s="7">
        <v>1.6</v>
      </c>
      <c r="Z378" s="7">
        <v>0.6</v>
      </c>
      <c r="AA378" s="7">
        <v>0.4</v>
      </c>
      <c r="AB378" s="7">
        <v>0.6</v>
      </c>
      <c r="AC378" s="7">
        <v>1.4</v>
      </c>
      <c r="AD378" s="7">
        <v>3.4</v>
      </c>
    </row>
    <row r="379" spans="1:30" x14ac:dyDescent="0.25">
      <c r="A379" s="5">
        <v>3790</v>
      </c>
      <c r="B379" s="5" t="s">
        <v>441</v>
      </c>
      <c r="C379" s="5">
        <v>30</v>
      </c>
      <c r="D379" s="5" t="s">
        <v>34</v>
      </c>
      <c r="E379" s="5" t="s">
        <v>35</v>
      </c>
      <c r="F379" s="5">
        <v>10</v>
      </c>
      <c r="G379" s="5">
        <v>3</v>
      </c>
      <c r="H379" s="5">
        <v>13.6</v>
      </c>
      <c r="I379" s="5">
        <v>1.2</v>
      </c>
      <c r="J379" s="5">
        <v>4</v>
      </c>
      <c r="K379" s="6">
        <f>IFERROR(database_24_25!$I379/database_24_25!$J379,0)</f>
        <v>0.3</v>
      </c>
      <c r="L379" s="5">
        <v>0.5</v>
      </c>
      <c r="M379" s="5">
        <v>1.9</v>
      </c>
      <c r="N379" s="6">
        <f>IFERROR(database_24_25!$L379/database_24_25!$M379,0)</f>
        <v>0.26315789473684209</v>
      </c>
      <c r="O379" s="5">
        <v>0.7</v>
      </c>
      <c r="P379" s="5">
        <f>database_24_25!$Q379/10</f>
        <v>2.1</v>
      </c>
      <c r="Q379" s="5">
        <v>21</v>
      </c>
      <c r="R379" s="6">
        <f>IFERROR(database_24_25!$O379/database_24_25!$P379,0)</f>
        <v>0.33333333333333331</v>
      </c>
      <c r="S379" s="5">
        <v>0.5</v>
      </c>
      <c r="T379" s="5">
        <v>0.6</v>
      </c>
      <c r="U379" s="6">
        <f>IFERROR(database_24_25!$S379/database_24_25!$T379,0)</f>
        <v>0.83333333333333337</v>
      </c>
      <c r="V379" s="5">
        <v>0.9</v>
      </c>
      <c r="W379" s="5">
        <v>2.6</v>
      </c>
      <c r="X379" s="5">
        <v>3.5</v>
      </c>
      <c r="Y379" s="5">
        <v>1.1000000000000001</v>
      </c>
      <c r="Z379" s="5">
        <v>0.6</v>
      </c>
      <c r="AA379" s="5">
        <v>0</v>
      </c>
      <c r="AB379" s="5">
        <v>1.1000000000000001</v>
      </c>
      <c r="AC379" s="5">
        <v>1.4</v>
      </c>
      <c r="AD379" s="5">
        <v>3.4</v>
      </c>
    </row>
    <row r="380" spans="1:30" x14ac:dyDescent="0.25">
      <c r="A380" s="5">
        <v>3750</v>
      </c>
      <c r="B380" s="5" t="s">
        <v>437</v>
      </c>
      <c r="C380" s="5">
        <v>23</v>
      </c>
      <c r="D380" s="5" t="s">
        <v>37</v>
      </c>
      <c r="E380" s="5" t="s">
        <v>35</v>
      </c>
      <c r="F380" s="5">
        <v>30</v>
      </c>
      <c r="G380" s="5">
        <v>4</v>
      </c>
      <c r="H380" s="5">
        <v>17.899999999999999</v>
      </c>
      <c r="I380" s="5">
        <v>1.5</v>
      </c>
      <c r="J380" s="5">
        <v>2.5</v>
      </c>
      <c r="K380" s="6">
        <f>IFERROR(database_24_25!$I380/database_24_25!$J380,0)</f>
        <v>0.6</v>
      </c>
      <c r="L380" s="5">
        <v>0</v>
      </c>
      <c r="M380" s="5">
        <v>0</v>
      </c>
      <c r="N380" s="6">
        <f>IFERROR(database_24_25!$L380/database_24_25!$M380,0)</f>
        <v>0</v>
      </c>
      <c r="O380" s="5">
        <v>1.5</v>
      </c>
      <c r="P380" s="5">
        <f>database_24_25!$Q380/10</f>
        <v>2.5</v>
      </c>
      <c r="Q380" s="5">
        <v>25</v>
      </c>
      <c r="R380" s="6">
        <f>IFERROR(database_24_25!$O380/database_24_25!$P380,0)</f>
        <v>0.6</v>
      </c>
      <c r="S380" s="5">
        <v>0.4</v>
      </c>
      <c r="T380" s="5">
        <v>0.8</v>
      </c>
      <c r="U380" s="6">
        <f>IFERROR(database_24_25!$S380/database_24_25!$T380,0)</f>
        <v>0.5</v>
      </c>
      <c r="V380" s="5">
        <v>3.1</v>
      </c>
      <c r="W380" s="5">
        <v>3.8</v>
      </c>
      <c r="X380" s="5">
        <v>6.8</v>
      </c>
      <c r="Y380" s="5">
        <v>0.6</v>
      </c>
      <c r="Z380" s="5">
        <v>0.6</v>
      </c>
      <c r="AA380" s="5">
        <v>0.7</v>
      </c>
      <c r="AB380" s="5">
        <v>0.9</v>
      </c>
      <c r="AC380" s="5">
        <v>1.7</v>
      </c>
      <c r="AD380" s="5">
        <v>3.4</v>
      </c>
    </row>
    <row r="381" spans="1:30" x14ac:dyDescent="0.25">
      <c r="A381" s="5">
        <v>3810</v>
      </c>
      <c r="B381" s="5" t="s">
        <v>443</v>
      </c>
      <c r="C381" s="5">
        <v>34</v>
      </c>
      <c r="D381" s="5" t="s">
        <v>47</v>
      </c>
      <c r="E381" s="5" t="s">
        <v>65</v>
      </c>
      <c r="F381" s="5">
        <v>6</v>
      </c>
      <c r="G381" s="5">
        <v>2</v>
      </c>
      <c r="H381" s="5">
        <v>14.8</v>
      </c>
      <c r="I381" s="5">
        <v>1</v>
      </c>
      <c r="J381" s="5">
        <v>2.8</v>
      </c>
      <c r="K381" s="6">
        <f>IFERROR(database_24_25!$I381/database_24_25!$J381,0)</f>
        <v>0.35714285714285715</v>
      </c>
      <c r="L381" s="5">
        <v>0.5</v>
      </c>
      <c r="M381" s="5">
        <v>2</v>
      </c>
      <c r="N381" s="6">
        <f>IFERROR(database_24_25!$L381/database_24_25!$M381,0)</f>
        <v>0.25</v>
      </c>
      <c r="O381" s="5">
        <v>0.5</v>
      </c>
      <c r="P381" s="5">
        <f>database_24_25!$Q381/10</f>
        <v>0.8</v>
      </c>
      <c r="Q381" s="5">
        <v>8</v>
      </c>
      <c r="R381" s="6">
        <f>IFERROR(database_24_25!$O381/database_24_25!$P381,0)</f>
        <v>0.625</v>
      </c>
      <c r="S381" s="5">
        <v>0.8</v>
      </c>
      <c r="T381" s="5">
        <v>1</v>
      </c>
      <c r="U381" s="6">
        <f>IFERROR(database_24_25!$S381/database_24_25!$T381,0)</f>
        <v>0.8</v>
      </c>
      <c r="V381" s="5">
        <v>1</v>
      </c>
      <c r="W381" s="5">
        <v>1.8</v>
      </c>
      <c r="X381" s="5">
        <v>2.8</v>
      </c>
      <c r="Y381" s="5">
        <v>0.7</v>
      </c>
      <c r="Z381" s="5">
        <v>0.5</v>
      </c>
      <c r="AA381" s="5">
        <v>0</v>
      </c>
      <c r="AB381" s="5">
        <v>0.7</v>
      </c>
      <c r="AC381" s="5">
        <v>1.7</v>
      </c>
      <c r="AD381" s="5">
        <v>3.3</v>
      </c>
    </row>
    <row r="382" spans="1:30" x14ac:dyDescent="0.25">
      <c r="A382" s="7">
        <v>3800</v>
      </c>
      <c r="B382" s="7" t="s">
        <v>442</v>
      </c>
      <c r="C382" s="7">
        <v>25</v>
      </c>
      <c r="D382" s="7" t="s">
        <v>45</v>
      </c>
      <c r="E382" s="7" t="s">
        <v>27</v>
      </c>
      <c r="F382" s="7">
        <v>7</v>
      </c>
      <c r="G382" s="7">
        <v>0</v>
      </c>
      <c r="H382" s="7">
        <v>5.3</v>
      </c>
      <c r="I382" s="7">
        <v>1.3</v>
      </c>
      <c r="J382" s="7">
        <v>2.1</v>
      </c>
      <c r="K382" s="6">
        <f>IFERROR(database_24_25!$I382/database_24_25!$J382,0)</f>
        <v>0.61904761904761907</v>
      </c>
      <c r="L382" s="7">
        <v>0.1</v>
      </c>
      <c r="M382" s="7">
        <v>0.7</v>
      </c>
      <c r="N382" s="6">
        <f>IFERROR(database_24_25!$L382/database_24_25!$M382,0)</f>
        <v>0.14285714285714288</v>
      </c>
      <c r="O382" s="7">
        <v>1.1000000000000001</v>
      </c>
      <c r="P382" s="5">
        <f>database_24_25!$Q382/10</f>
        <v>1.4</v>
      </c>
      <c r="Q382" s="7">
        <v>14</v>
      </c>
      <c r="R382" s="6">
        <f>IFERROR(database_24_25!$O382/database_24_25!$P382,0)</f>
        <v>0.78571428571428581</v>
      </c>
      <c r="S382" s="7">
        <v>0.6</v>
      </c>
      <c r="T382" s="7">
        <v>0.9</v>
      </c>
      <c r="U382" s="6">
        <f>IFERROR(database_24_25!$S382/database_24_25!$T382,0)</f>
        <v>0.66666666666666663</v>
      </c>
      <c r="V382" s="7">
        <v>0.6</v>
      </c>
      <c r="W382" s="7">
        <v>1</v>
      </c>
      <c r="X382" s="7">
        <v>1.6</v>
      </c>
      <c r="Y382" s="7">
        <v>0.1</v>
      </c>
      <c r="Z382" s="7">
        <v>0</v>
      </c>
      <c r="AA382" s="7">
        <v>0</v>
      </c>
      <c r="AB382" s="7">
        <v>0.4</v>
      </c>
      <c r="AC382" s="7">
        <v>0.1</v>
      </c>
      <c r="AD382" s="7">
        <v>3.3</v>
      </c>
    </row>
    <row r="383" spans="1:30" x14ac:dyDescent="0.25">
      <c r="A383" s="7">
        <v>3840</v>
      </c>
      <c r="B383" s="7" t="s">
        <v>446</v>
      </c>
      <c r="C383" s="7">
        <v>29</v>
      </c>
      <c r="D383" s="7" t="s">
        <v>110</v>
      </c>
      <c r="E383" s="7" t="s">
        <v>65</v>
      </c>
      <c r="F383" s="7">
        <v>17</v>
      </c>
      <c r="G383" s="7">
        <v>0</v>
      </c>
      <c r="H383" s="7">
        <v>9.1999999999999993</v>
      </c>
      <c r="I383" s="7">
        <v>1.2</v>
      </c>
      <c r="J383" s="7">
        <v>2.5</v>
      </c>
      <c r="K383" s="6">
        <f>IFERROR(database_24_25!$I383/database_24_25!$J383,0)</f>
        <v>0.48</v>
      </c>
      <c r="L383" s="7">
        <v>0.1</v>
      </c>
      <c r="M383" s="7">
        <v>0.5</v>
      </c>
      <c r="N383" s="6">
        <f>IFERROR(database_24_25!$L383/database_24_25!$M383,0)</f>
        <v>0.2</v>
      </c>
      <c r="O383" s="7">
        <v>1.1000000000000001</v>
      </c>
      <c r="P383" s="5">
        <f>database_24_25!$Q383/10</f>
        <v>2</v>
      </c>
      <c r="Q383" s="7">
        <v>20</v>
      </c>
      <c r="R383" s="6">
        <f>IFERROR(database_24_25!$O383/database_24_25!$P383,0)</f>
        <v>0.55000000000000004</v>
      </c>
      <c r="S383" s="7">
        <v>0.7</v>
      </c>
      <c r="T383" s="7">
        <v>1</v>
      </c>
      <c r="U383" s="6">
        <f>IFERROR(database_24_25!$S383/database_24_25!$T383,0)</f>
        <v>0.7</v>
      </c>
      <c r="V383" s="7">
        <v>0.6</v>
      </c>
      <c r="W383" s="7">
        <v>1.7</v>
      </c>
      <c r="X383" s="7">
        <v>2.4</v>
      </c>
      <c r="Y383" s="7">
        <v>0.7</v>
      </c>
      <c r="Z383" s="7">
        <v>0.6</v>
      </c>
      <c r="AA383" s="7">
        <v>0.1</v>
      </c>
      <c r="AB383" s="7">
        <v>0.5</v>
      </c>
      <c r="AC383" s="7">
        <v>1.6</v>
      </c>
      <c r="AD383" s="7">
        <v>3.3</v>
      </c>
    </row>
    <row r="384" spans="1:30" x14ac:dyDescent="0.25">
      <c r="A384" s="7">
        <v>3830</v>
      </c>
      <c r="B384" s="7" t="s">
        <v>445</v>
      </c>
      <c r="C384" s="7">
        <v>20</v>
      </c>
      <c r="D384" s="7" t="s">
        <v>110</v>
      </c>
      <c r="E384" s="7" t="s">
        <v>32</v>
      </c>
      <c r="F384" s="7">
        <v>30</v>
      </c>
      <c r="G384" s="7">
        <v>0</v>
      </c>
      <c r="H384" s="7">
        <v>11.6</v>
      </c>
      <c r="I384" s="7">
        <v>1.3</v>
      </c>
      <c r="J384" s="7">
        <v>3.9</v>
      </c>
      <c r="K384" s="6">
        <f>IFERROR(database_24_25!$I384/database_24_25!$J384,0)</f>
        <v>0.33333333333333337</v>
      </c>
      <c r="L384" s="7">
        <v>0.6</v>
      </c>
      <c r="M384" s="7">
        <v>2.2999999999999998</v>
      </c>
      <c r="N384" s="6">
        <f>IFERROR(database_24_25!$L384/database_24_25!$M384,0)</f>
        <v>0.2608695652173913</v>
      </c>
      <c r="O384" s="7">
        <v>0.6</v>
      </c>
      <c r="P384" s="5">
        <f>database_24_25!$Q384/10</f>
        <v>1.7</v>
      </c>
      <c r="Q384" s="7">
        <v>17</v>
      </c>
      <c r="R384" s="6">
        <f>IFERROR(database_24_25!$O384/database_24_25!$P384,0)</f>
        <v>0.35294117647058826</v>
      </c>
      <c r="S384" s="7">
        <v>0.2</v>
      </c>
      <c r="T384" s="7">
        <v>0.2</v>
      </c>
      <c r="U384" s="6">
        <f>IFERROR(database_24_25!$S384/database_24_25!$T384,0)</f>
        <v>1</v>
      </c>
      <c r="V384" s="7">
        <v>0.3</v>
      </c>
      <c r="W384" s="7">
        <v>0.9</v>
      </c>
      <c r="X384" s="7">
        <v>1.3</v>
      </c>
      <c r="Y384" s="7">
        <v>1.2</v>
      </c>
      <c r="Z384" s="7">
        <v>0.5</v>
      </c>
      <c r="AA384" s="7">
        <v>0.3</v>
      </c>
      <c r="AB384" s="7">
        <v>0.6</v>
      </c>
      <c r="AC384" s="7">
        <v>0.9</v>
      </c>
      <c r="AD384" s="7">
        <v>3.3</v>
      </c>
    </row>
    <row r="385" spans="1:30" x14ac:dyDescent="0.25">
      <c r="A385" s="5">
        <v>3820</v>
      </c>
      <c r="B385" s="5" t="s">
        <v>444</v>
      </c>
      <c r="C385" s="5">
        <v>25</v>
      </c>
      <c r="D385" s="5" t="s">
        <v>34</v>
      </c>
      <c r="E385" s="5" t="s">
        <v>58</v>
      </c>
      <c r="F385" s="5">
        <v>8</v>
      </c>
      <c r="G385" s="5">
        <v>0</v>
      </c>
      <c r="H385" s="5">
        <v>9.9</v>
      </c>
      <c r="I385" s="5">
        <v>1.3</v>
      </c>
      <c r="J385" s="5">
        <v>2.6</v>
      </c>
      <c r="K385" s="6">
        <f>IFERROR(database_24_25!$I385/database_24_25!$J385,0)</f>
        <v>0.5</v>
      </c>
      <c r="L385" s="5">
        <v>0.8</v>
      </c>
      <c r="M385" s="5">
        <v>1.8</v>
      </c>
      <c r="N385" s="6">
        <f>IFERROR(database_24_25!$L385/database_24_25!$M385,0)</f>
        <v>0.44444444444444448</v>
      </c>
      <c r="O385" s="5">
        <v>0.5</v>
      </c>
      <c r="P385" s="5">
        <f>database_24_25!$Q385/10</f>
        <v>0.9</v>
      </c>
      <c r="Q385" s="5">
        <v>9</v>
      </c>
      <c r="R385" s="6">
        <f>IFERROR(database_24_25!$O385/database_24_25!$P385,0)</f>
        <v>0.55555555555555558</v>
      </c>
      <c r="S385" s="5">
        <v>0</v>
      </c>
      <c r="T385" s="5">
        <v>0</v>
      </c>
      <c r="U385" s="6">
        <f>IFERROR(database_24_25!$S385/database_24_25!$T385,0)</f>
        <v>0</v>
      </c>
      <c r="V385" s="5">
        <v>0.1</v>
      </c>
      <c r="W385" s="5">
        <v>1</v>
      </c>
      <c r="X385" s="5">
        <v>1.1000000000000001</v>
      </c>
      <c r="Y385" s="5">
        <v>2.6</v>
      </c>
      <c r="Z385" s="5">
        <v>0.1</v>
      </c>
      <c r="AA385" s="5">
        <v>0.1</v>
      </c>
      <c r="AB385" s="5">
        <v>0.6</v>
      </c>
      <c r="AC385" s="5">
        <v>0.9</v>
      </c>
      <c r="AD385" s="5">
        <v>3.3</v>
      </c>
    </row>
    <row r="386" spans="1:30" x14ac:dyDescent="0.25">
      <c r="A386" s="7">
        <v>3870</v>
      </c>
      <c r="B386" s="7" t="s">
        <v>449</v>
      </c>
      <c r="C386" s="7">
        <v>20</v>
      </c>
      <c r="D386" s="7" t="s">
        <v>124</v>
      </c>
      <c r="E386" s="7" t="s">
        <v>58</v>
      </c>
      <c r="F386" s="7">
        <v>25</v>
      </c>
      <c r="G386" s="7">
        <v>0</v>
      </c>
      <c r="H386" s="7">
        <v>9.9</v>
      </c>
      <c r="I386" s="7">
        <v>1.2</v>
      </c>
      <c r="J386" s="7">
        <v>2.7</v>
      </c>
      <c r="K386" s="6">
        <f>IFERROR(database_24_25!$I386/database_24_25!$J386,0)</f>
        <v>0.44444444444444442</v>
      </c>
      <c r="L386" s="7">
        <v>0.4</v>
      </c>
      <c r="M386" s="7">
        <v>1.2</v>
      </c>
      <c r="N386" s="6">
        <f>IFERROR(database_24_25!$L386/database_24_25!$M386,0)</f>
        <v>0.33333333333333337</v>
      </c>
      <c r="O386" s="7">
        <v>0.8</v>
      </c>
      <c r="P386" s="5">
        <f>database_24_25!$Q386/10</f>
        <v>1.5</v>
      </c>
      <c r="Q386" s="7">
        <v>15</v>
      </c>
      <c r="R386" s="6">
        <f>IFERROR(database_24_25!$O386/database_24_25!$P386,0)</f>
        <v>0.53333333333333333</v>
      </c>
      <c r="S386" s="7">
        <v>0.5</v>
      </c>
      <c r="T386" s="7">
        <v>0.6</v>
      </c>
      <c r="U386" s="6">
        <f>IFERROR(database_24_25!$S386/database_24_25!$T386,0)</f>
        <v>0.83333333333333337</v>
      </c>
      <c r="V386" s="7">
        <v>0.7</v>
      </c>
      <c r="W386" s="7">
        <v>0.7</v>
      </c>
      <c r="X386" s="7">
        <v>1.4</v>
      </c>
      <c r="Y386" s="7">
        <v>0.5</v>
      </c>
      <c r="Z386" s="7">
        <v>0.3</v>
      </c>
      <c r="AA386" s="7">
        <v>0.1</v>
      </c>
      <c r="AB386" s="7">
        <v>0.5</v>
      </c>
      <c r="AC386" s="7">
        <v>0.7</v>
      </c>
      <c r="AD386" s="7">
        <v>3.2</v>
      </c>
    </row>
    <row r="387" spans="1:30" x14ac:dyDescent="0.25">
      <c r="A387" s="7">
        <v>3880</v>
      </c>
      <c r="B387" s="7" t="s">
        <v>450</v>
      </c>
      <c r="C387" s="7">
        <v>27</v>
      </c>
      <c r="D387" s="7" t="s">
        <v>55</v>
      </c>
      <c r="E387" s="7" t="s">
        <v>58</v>
      </c>
      <c r="F387" s="7">
        <v>6</v>
      </c>
      <c r="G387" s="7">
        <v>0</v>
      </c>
      <c r="H387" s="7">
        <v>9</v>
      </c>
      <c r="I387" s="7">
        <v>1.3</v>
      </c>
      <c r="J387" s="7">
        <v>2.2000000000000002</v>
      </c>
      <c r="K387" s="6">
        <f>IFERROR(database_24_25!$I387/database_24_25!$J387,0)</f>
        <v>0.59090909090909083</v>
      </c>
      <c r="L387" s="7">
        <v>0.5</v>
      </c>
      <c r="M387" s="7">
        <v>0.8</v>
      </c>
      <c r="N387" s="6">
        <f>IFERROR(database_24_25!$L387/database_24_25!$M387,0)</f>
        <v>0.625</v>
      </c>
      <c r="O387" s="7">
        <v>0.8</v>
      </c>
      <c r="P387" s="5">
        <f>database_24_25!$Q387/10</f>
        <v>1.3</v>
      </c>
      <c r="Q387" s="7">
        <v>13</v>
      </c>
      <c r="R387" s="6">
        <f>IFERROR(database_24_25!$O387/database_24_25!$P387,0)</f>
        <v>0.61538461538461542</v>
      </c>
      <c r="S387" s="7">
        <v>0</v>
      </c>
      <c r="T387" s="7">
        <v>0</v>
      </c>
      <c r="U387" s="6">
        <f>IFERROR(database_24_25!$S387/database_24_25!$T387,0)</f>
        <v>0</v>
      </c>
      <c r="V387" s="7">
        <v>0</v>
      </c>
      <c r="W387" s="7">
        <v>0.5</v>
      </c>
      <c r="X387" s="7">
        <v>0.5</v>
      </c>
      <c r="Y387" s="7">
        <v>0.7</v>
      </c>
      <c r="Z387" s="7">
        <v>0.8</v>
      </c>
      <c r="AA387" s="7">
        <v>0</v>
      </c>
      <c r="AB387" s="7">
        <v>0.2</v>
      </c>
      <c r="AC387" s="7">
        <v>0.3</v>
      </c>
      <c r="AD387" s="7">
        <v>3.2</v>
      </c>
    </row>
    <row r="388" spans="1:30" x14ac:dyDescent="0.25">
      <c r="A388" s="5">
        <v>3850</v>
      </c>
      <c r="B388" s="5" t="s">
        <v>447</v>
      </c>
      <c r="C388" s="5">
        <v>25</v>
      </c>
      <c r="D388" s="5" t="s">
        <v>108</v>
      </c>
      <c r="E388" s="5" t="s">
        <v>35</v>
      </c>
      <c r="F388" s="5">
        <v>9</v>
      </c>
      <c r="G388" s="5">
        <v>0</v>
      </c>
      <c r="H388" s="5">
        <v>5.0999999999999996</v>
      </c>
      <c r="I388" s="5">
        <v>1.4</v>
      </c>
      <c r="J388" s="5">
        <v>2.2000000000000002</v>
      </c>
      <c r="K388" s="6">
        <f>IFERROR(database_24_25!$I388/database_24_25!$J388,0)</f>
        <v>0.63636363636363624</v>
      </c>
      <c r="L388" s="5">
        <v>0</v>
      </c>
      <c r="M388" s="5">
        <v>0</v>
      </c>
      <c r="N388" s="6">
        <f>IFERROR(database_24_25!$L388/database_24_25!$M388,0)</f>
        <v>0</v>
      </c>
      <c r="O388" s="5">
        <v>1.4</v>
      </c>
      <c r="P388" s="5">
        <f>database_24_25!$Q388/10</f>
        <v>2.2000000000000002</v>
      </c>
      <c r="Q388" s="5">
        <v>22</v>
      </c>
      <c r="R388" s="6">
        <f>IFERROR(database_24_25!$O388/database_24_25!$P388,0)</f>
        <v>0.63636363636363624</v>
      </c>
      <c r="S388" s="5">
        <v>0.3</v>
      </c>
      <c r="T388" s="5">
        <v>0.6</v>
      </c>
      <c r="U388" s="6">
        <f>IFERROR(database_24_25!$S388/database_24_25!$T388,0)</f>
        <v>0.5</v>
      </c>
      <c r="V388" s="5">
        <v>0.4</v>
      </c>
      <c r="W388" s="5">
        <v>1</v>
      </c>
      <c r="X388" s="5">
        <v>1.4</v>
      </c>
      <c r="Y388" s="5">
        <v>0</v>
      </c>
      <c r="Z388" s="5">
        <v>0.2</v>
      </c>
      <c r="AA388" s="5">
        <v>0.1</v>
      </c>
      <c r="AB388" s="5">
        <v>0.7</v>
      </c>
      <c r="AC388" s="5">
        <v>0.7</v>
      </c>
      <c r="AD388" s="5">
        <v>3.2</v>
      </c>
    </row>
    <row r="389" spans="1:30" x14ac:dyDescent="0.25">
      <c r="A389" s="5">
        <v>3860</v>
      </c>
      <c r="B389" s="5" t="s">
        <v>448</v>
      </c>
      <c r="C389" s="5">
        <v>25</v>
      </c>
      <c r="D389" s="5" t="s">
        <v>41</v>
      </c>
      <c r="E389" s="5" t="s">
        <v>27</v>
      </c>
      <c r="F389" s="5">
        <v>11</v>
      </c>
      <c r="G389" s="5">
        <v>0</v>
      </c>
      <c r="H389" s="5">
        <v>9.9</v>
      </c>
      <c r="I389" s="5">
        <v>1</v>
      </c>
      <c r="J389" s="5">
        <v>2</v>
      </c>
      <c r="K389" s="6">
        <f>IFERROR(database_24_25!$I389/database_24_25!$J389,0)</f>
        <v>0.5</v>
      </c>
      <c r="L389" s="5">
        <v>0.6</v>
      </c>
      <c r="M389" s="5">
        <v>1.5</v>
      </c>
      <c r="N389" s="6">
        <f>IFERROR(database_24_25!$L389/database_24_25!$M389,0)</f>
        <v>0.39999999999999997</v>
      </c>
      <c r="O389" s="5">
        <v>0.4</v>
      </c>
      <c r="P389" s="5">
        <f>database_24_25!$Q389/10</f>
        <v>0.5</v>
      </c>
      <c r="Q389" s="5">
        <v>5</v>
      </c>
      <c r="R389" s="6">
        <f>IFERROR(database_24_25!$O389/database_24_25!$P389,0)</f>
        <v>0.8</v>
      </c>
      <c r="S389" s="5">
        <v>0.5</v>
      </c>
      <c r="T389" s="5">
        <v>0.6</v>
      </c>
      <c r="U389" s="6">
        <f>IFERROR(database_24_25!$S389/database_24_25!$T389,0)</f>
        <v>0.83333333333333337</v>
      </c>
      <c r="V389" s="5">
        <v>0.5</v>
      </c>
      <c r="W389" s="5">
        <v>1.6</v>
      </c>
      <c r="X389" s="5">
        <v>2.1</v>
      </c>
      <c r="Y389" s="5">
        <v>0.7</v>
      </c>
      <c r="Z389" s="5">
        <v>0.2</v>
      </c>
      <c r="AA389" s="5">
        <v>0.2</v>
      </c>
      <c r="AB389" s="5">
        <v>0.5</v>
      </c>
      <c r="AC389" s="5">
        <v>0.9</v>
      </c>
      <c r="AD389" s="5">
        <v>3.2</v>
      </c>
    </row>
    <row r="390" spans="1:30" x14ac:dyDescent="0.25">
      <c r="A390" s="5">
        <v>3890</v>
      </c>
      <c r="B390" s="5" t="s">
        <v>451</v>
      </c>
      <c r="C390" s="5">
        <v>20</v>
      </c>
      <c r="D390" s="5" t="s">
        <v>114</v>
      </c>
      <c r="E390" s="5" t="s">
        <v>32</v>
      </c>
      <c r="F390" s="5">
        <v>24</v>
      </c>
      <c r="G390" s="5">
        <v>2</v>
      </c>
      <c r="H390" s="5">
        <v>17.3</v>
      </c>
      <c r="I390" s="5">
        <v>1.3</v>
      </c>
      <c r="J390" s="5">
        <v>4</v>
      </c>
      <c r="K390" s="6">
        <f>IFERROR(database_24_25!$I390/database_24_25!$J390,0)</f>
        <v>0.32500000000000001</v>
      </c>
      <c r="L390" s="5">
        <v>0.3</v>
      </c>
      <c r="M390" s="5">
        <v>1.6</v>
      </c>
      <c r="N390" s="6">
        <f>IFERROR(database_24_25!$L390/database_24_25!$M390,0)</f>
        <v>0.18749999999999997</v>
      </c>
      <c r="O390" s="5">
        <v>1</v>
      </c>
      <c r="P390" s="5">
        <f>database_24_25!$Q390/10</f>
        <v>2.4</v>
      </c>
      <c r="Q390" s="5">
        <v>24</v>
      </c>
      <c r="R390" s="6">
        <f>IFERROR(database_24_25!$O390/database_24_25!$P390,0)</f>
        <v>0.41666666666666669</v>
      </c>
      <c r="S390" s="5">
        <v>0.4</v>
      </c>
      <c r="T390" s="5">
        <v>0.8</v>
      </c>
      <c r="U390" s="6">
        <f>IFERROR(database_24_25!$S390/database_24_25!$T390,0)</f>
        <v>0.5</v>
      </c>
      <c r="V390" s="5">
        <v>0.2</v>
      </c>
      <c r="W390" s="5">
        <v>2</v>
      </c>
      <c r="X390" s="5">
        <v>2.2000000000000002</v>
      </c>
      <c r="Y390" s="5">
        <v>3.4</v>
      </c>
      <c r="Z390" s="5">
        <v>0.8</v>
      </c>
      <c r="AA390" s="5">
        <v>0.2</v>
      </c>
      <c r="AB390" s="5">
        <v>2.2999999999999998</v>
      </c>
      <c r="AC390" s="5">
        <v>1.8</v>
      </c>
      <c r="AD390" s="5">
        <v>3.1</v>
      </c>
    </row>
    <row r="391" spans="1:30" x14ac:dyDescent="0.25">
      <c r="A391" s="7">
        <v>3900</v>
      </c>
      <c r="B391" s="7" t="s">
        <v>452</v>
      </c>
      <c r="C391" s="7">
        <v>27</v>
      </c>
      <c r="D391" s="7" t="s">
        <v>53</v>
      </c>
      <c r="E391" s="7" t="s">
        <v>32</v>
      </c>
      <c r="F391" s="7">
        <v>11</v>
      </c>
      <c r="G391" s="7">
        <v>0</v>
      </c>
      <c r="H391" s="7">
        <v>10.199999999999999</v>
      </c>
      <c r="I391" s="7">
        <v>1.2</v>
      </c>
      <c r="J391" s="7">
        <v>2.7</v>
      </c>
      <c r="K391" s="6">
        <f>IFERROR(database_24_25!$I391/database_24_25!$J391,0)</f>
        <v>0.44444444444444442</v>
      </c>
      <c r="L391" s="7">
        <v>0.2</v>
      </c>
      <c r="M391" s="7">
        <v>0.8</v>
      </c>
      <c r="N391" s="6">
        <f>IFERROR(database_24_25!$L391/database_24_25!$M391,0)</f>
        <v>0.25</v>
      </c>
      <c r="O391" s="7">
        <v>1</v>
      </c>
      <c r="P391" s="5">
        <f>database_24_25!$Q391/10</f>
        <v>1.9</v>
      </c>
      <c r="Q391" s="7">
        <v>19</v>
      </c>
      <c r="R391" s="6">
        <f>IFERROR(database_24_25!$O391/database_24_25!$P391,0)</f>
        <v>0.52631578947368418</v>
      </c>
      <c r="S391" s="7">
        <v>0.5</v>
      </c>
      <c r="T391" s="7">
        <v>0.8</v>
      </c>
      <c r="U391" s="6">
        <f>IFERROR(database_24_25!$S391/database_24_25!$T391,0)</f>
        <v>0.625</v>
      </c>
      <c r="V391" s="7">
        <v>0.2</v>
      </c>
      <c r="W391" s="7">
        <v>0.8</v>
      </c>
      <c r="X391" s="7">
        <v>1</v>
      </c>
      <c r="Y391" s="7">
        <v>1.1000000000000001</v>
      </c>
      <c r="Z391" s="7">
        <v>0.3</v>
      </c>
      <c r="AA391" s="7">
        <v>0.1</v>
      </c>
      <c r="AB391" s="7">
        <v>0.2</v>
      </c>
      <c r="AC391" s="7">
        <v>0.6</v>
      </c>
      <c r="AD391" s="7">
        <v>3.1</v>
      </c>
    </row>
    <row r="392" spans="1:30" x14ac:dyDescent="0.25">
      <c r="A392" s="5">
        <v>3910</v>
      </c>
      <c r="B392" s="5" t="s">
        <v>453</v>
      </c>
      <c r="C392" s="5">
        <v>29</v>
      </c>
      <c r="D392" s="5" t="s">
        <v>110</v>
      </c>
      <c r="E392" s="5" t="s">
        <v>35</v>
      </c>
      <c r="F392" s="5">
        <v>19</v>
      </c>
      <c r="G392" s="5">
        <v>0</v>
      </c>
      <c r="H392" s="5">
        <v>9.5</v>
      </c>
      <c r="I392" s="5">
        <v>1.2</v>
      </c>
      <c r="J392" s="5">
        <v>2.8</v>
      </c>
      <c r="K392" s="6">
        <f>IFERROR(database_24_25!$I392/database_24_25!$J392,0)</f>
        <v>0.4285714285714286</v>
      </c>
      <c r="L392" s="5">
        <v>0.2</v>
      </c>
      <c r="M392" s="5">
        <v>0.4</v>
      </c>
      <c r="N392" s="6">
        <f>IFERROR(database_24_25!$L392/database_24_25!$M392,0)</f>
        <v>0.5</v>
      </c>
      <c r="O392" s="5">
        <v>1</v>
      </c>
      <c r="P392" s="5">
        <f>database_24_25!$Q392/10</f>
        <v>2.4</v>
      </c>
      <c r="Q392" s="5">
        <v>24</v>
      </c>
      <c r="R392" s="6">
        <f>IFERROR(database_24_25!$O392/database_24_25!$P392,0)</f>
        <v>0.41666666666666669</v>
      </c>
      <c r="S392" s="5">
        <v>0.6</v>
      </c>
      <c r="T392" s="5">
        <v>1.1000000000000001</v>
      </c>
      <c r="U392" s="6">
        <f>IFERROR(database_24_25!$S392/database_24_25!$T392,0)</f>
        <v>0.54545454545454541</v>
      </c>
      <c r="V392" s="5">
        <v>1.2</v>
      </c>
      <c r="W392" s="5">
        <v>1.5</v>
      </c>
      <c r="X392" s="5">
        <v>2.6</v>
      </c>
      <c r="Y392" s="5">
        <v>0.7</v>
      </c>
      <c r="Z392" s="5">
        <v>0.2</v>
      </c>
      <c r="AA392" s="5">
        <v>0.4</v>
      </c>
      <c r="AB392" s="5">
        <v>0.5</v>
      </c>
      <c r="AC392" s="5">
        <v>0.8</v>
      </c>
      <c r="AD392" s="5">
        <v>3.1</v>
      </c>
    </row>
    <row r="393" spans="1:30" x14ac:dyDescent="0.25">
      <c r="A393" s="7">
        <v>3920</v>
      </c>
      <c r="B393" s="7" t="s">
        <v>454</v>
      </c>
      <c r="C393" s="7">
        <v>20</v>
      </c>
      <c r="D393" s="7" t="s">
        <v>37</v>
      </c>
      <c r="E393" s="7" t="s">
        <v>58</v>
      </c>
      <c r="F393" s="7">
        <v>15</v>
      </c>
      <c r="G393" s="7">
        <v>0</v>
      </c>
      <c r="H393" s="7">
        <v>8.8000000000000007</v>
      </c>
      <c r="I393" s="7">
        <v>1.2</v>
      </c>
      <c r="J393" s="7">
        <v>3.4</v>
      </c>
      <c r="K393" s="6">
        <f>IFERROR(database_24_25!$I393/database_24_25!$J393,0)</f>
        <v>0.35294117647058826</v>
      </c>
      <c r="L393" s="7">
        <v>0.7</v>
      </c>
      <c r="M393" s="7">
        <v>1.9</v>
      </c>
      <c r="N393" s="6">
        <f>IFERROR(database_24_25!$L393/database_24_25!$M393,0)</f>
        <v>0.36842105263157893</v>
      </c>
      <c r="O393" s="7">
        <v>0.5</v>
      </c>
      <c r="P393" s="5">
        <f>database_24_25!$Q393/10</f>
        <v>1.5</v>
      </c>
      <c r="Q393" s="7">
        <v>15</v>
      </c>
      <c r="R393" s="6">
        <f>IFERROR(database_24_25!$O393/database_24_25!$P393,0)</f>
        <v>0.33333333333333331</v>
      </c>
      <c r="S393" s="7">
        <v>0.1</v>
      </c>
      <c r="T393" s="7">
        <v>0.1</v>
      </c>
      <c r="U393" s="6">
        <f>IFERROR(database_24_25!$S393/database_24_25!$T393,0)</f>
        <v>1</v>
      </c>
      <c r="V393" s="7">
        <v>0.1</v>
      </c>
      <c r="W393" s="7">
        <v>0.8</v>
      </c>
      <c r="X393" s="7">
        <v>0.9</v>
      </c>
      <c r="Y393" s="7">
        <v>0.7</v>
      </c>
      <c r="Z393" s="7">
        <v>0.3</v>
      </c>
      <c r="AA393" s="7">
        <v>0.1</v>
      </c>
      <c r="AB393" s="7">
        <v>0.2</v>
      </c>
      <c r="AC393" s="7">
        <v>0.5</v>
      </c>
      <c r="AD393" s="7">
        <v>3.1</v>
      </c>
    </row>
    <row r="394" spans="1:30" x14ac:dyDescent="0.25">
      <c r="A394" s="7">
        <v>3960</v>
      </c>
      <c r="B394" s="7" t="s">
        <v>458</v>
      </c>
      <c r="C394" s="7">
        <v>31</v>
      </c>
      <c r="D394" s="7" t="s">
        <v>94</v>
      </c>
      <c r="E394" s="7" t="s">
        <v>27</v>
      </c>
      <c r="F394" s="7">
        <v>4</v>
      </c>
      <c r="G394" s="7">
        <v>0</v>
      </c>
      <c r="H394" s="7">
        <v>6</v>
      </c>
      <c r="I394" s="7">
        <v>1.3</v>
      </c>
      <c r="J394" s="7">
        <v>2.8</v>
      </c>
      <c r="K394" s="6">
        <f>IFERROR(database_24_25!$I394/database_24_25!$J394,0)</f>
        <v>0.46428571428571436</v>
      </c>
      <c r="L394" s="7">
        <v>0</v>
      </c>
      <c r="M394" s="7">
        <v>0.3</v>
      </c>
      <c r="N394" s="6">
        <f>IFERROR(database_24_25!$L394/database_24_25!$M394,0)</f>
        <v>0</v>
      </c>
      <c r="O394" s="7">
        <v>1.3</v>
      </c>
      <c r="P394" s="5">
        <f>database_24_25!$Q394/10</f>
        <v>2.5</v>
      </c>
      <c r="Q394" s="7">
        <v>25</v>
      </c>
      <c r="R394" s="6">
        <f>IFERROR(database_24_25!$O394/database_24_25!$P394,0)</f>
        <v>0.52</v>
      </c>
      <c r="S394" s="7">
        <v>0.5</v>
      </c>
      <c r="T394" s="7">
        <v>0.5</v>
      </c>
      <c r="U394" s="6">
        <f>IFERROR(database_24_25!$S394/database_24_25!$T394,0)</f>
        <v>1</v>
      </c>
      <c r="V394" s="7">
        <v>0.8</v>
      </c>
      <c r="W394" s="7">
        <v>1</v>
      </c>
      <c r="X394" s="7">
        <v>1.8</v>
      </c>
      <c r="Y394" s="7">
        <v>0</v>
      </c>
      <c r="Z394" s="7">
        <v>0</v>
      </c>
      <c r="AA394" s="7">
        <v>0.5</v>
      </c>
      <c r="AB394" s="7">
        <v>0.5</v>
      </c>
      <c r="AC394" s="7">
        <v>0.3</v>
      </c>
      <c r="AD394" s="7">
        <v>3</v>
      </c>
    </row>
    <row r="395" spans="1:30" x14ac:dyDescent="0.25">
      <c r="A395" s="5">
        <v>4020</v>
      </c>
      <c r="B395" s="5" t="s">
        <v>464</v>
      </c>
      <c r="C395" s="5">
        <v>25</v>
      </c>
      <c r="D395" s="5" t="s">
        <v>114</v>
      </c>
      <c r="E395" s="5" t="s">
        <v>27</v>
      </c>
      <c r="F395" s="5">
        <v>1</v>
      </c>
      <c r="G395" s="5">
        <v>0</v>
      </c>
      <c r="H395" s="5">
        <v>16</v>
      </c>
      <c r="I395" s="5">
        <v>0</v>
      </c>
      <c r="J395" s="5">
        <v>0</v>
      </c>
      <c r="K395" s="6">
        <f>IFERROR(database_24_25!$I395/database_24_25!$J395,0)</f>
        <v>0</v>
      </c>
      <c r="L395" s="5">
        <v>0</v>
      </c>
      <c r="M395" s="5">
        <v>0</v>
      </c>
      <c r="N395" s="6">
        <f>IFERROR(database_24_25!$L395/database_24_25!$M395,0)</f>
        <v>0</v>
      </c>
      <c r="O395" s="5">
        <v>0</v>
      </c>
      <c r="P395" s="5">
        <f>database_24_25!$Q395/10</f>
        <v>0</v>
      </c>
      <c r="Q395" s="5">
        <v>0</v>
      </c>
      <c r="R395" s="6">
        <f>IFERROR(database_24_25!$O395/database_24_25!$P395,0)</f>
        <v>0</v>
      </c>
      <c r="S395" s="5">
        <v>3</v>
      </c>
      <c r="T395" s="5">
        <v>4</v>
      </c>
      <c r="U395" s="6">
        <f>IFERROR(database_24_25!$S395/database_24_25!$T395,0)</f>
        <v>0.75</v>
      </c>
      <c r="V395" s="5">
        <v>3</v>
      </c>
      <c r="W395" s="5">
        <v>6</v>
      </c>
      <c r="X395" s="5">
        <v>9</v>
      </c>
      <c r="Y395" s="5">
        <v>0</v>
      </c>
      <c r="Z395" s="5">
        <v>2</v>
      </c>
      <c r="AA395" s="5">
        <v>0</v>
      </c>
      <c r="AB395" s="5">
        <v>1</v>
      </c>
      <c r="AC395" s="5">
        <v>3</v>
      </c>
      <c r="AD395" s="5">
        <v>3</v>
      </c>
    </row>
    <row r="396" spans="1:30" x14ac:dyDescent="0.25">
      <c r="A396" s="5">
        <v>3980</v>
      </c>
      <c r="B396" s="5" t="s">
        <v>460</v>
      </c>
      <c r="C396" s="5">
        <v>24</v>
      </c>
      <c r="D396" s="5" t="s">
        <v>77</v>
      </c>
      <c r="E396" s="5" t="s">
        <v>58</v>
      </c>
      <c r="F396" s="5">
        <v>3</v>
      </c>
      <c r="G396" s="5">
        <v>0</v>
      </c>
      <c r="H396" s="5">
        <v>4.7</v>
      </c>
      <c r="I396" s="5">
        <v>1</v>
      </c>
      <c r="J396" s="5">
        <v>2.2999999999999998</v>
      </c>
      <c r="K396" s="6">
        <f>IFERROR(database_24_25!$I396/database_24_25!$J396,0)</f>
        <v>0.43478260869565222</v>
      </c>
      <c r="L396" s="5">
        <v>0.7</v>
      </c>
      <c r="M396" s="5">
        <v>1.7</v>
      </c>
      <c r="N396" s="6">
        <f>IFERROR(database_24_25!$L396/database_24_25!$M396,0)</f>
        <v>0.41176470588235292</v>
      </c>
      <c r="O396" s="5">
        <v>0.3</v>
      </c>
      <c r="P396" s="5">
        <f>database_24_25!$Q396/10</f>
        <v>0.7</v>
      </c>
      <c r="Q396" s="5">
        <v>7</v>
      </c>
      <c r="R396" s="6">
        <f>IFERROR(database_24_25!$O396/database_24_25!$P396,0)</f>
        <v>0.4285714285714286</v>
      </c>
      <c r="S396" s="5">
        <v>0.3</v>
      </c>
      <c r="T396" s="5">
        <v>0.7</v>
      </c>
      <c r="U396" s="6">
        <f>IFERROR(database_24_25!$S396/database_24_25!$T396,0)</f>
        <v>0.4285714285714286</v>
      </c>
      <c r="V396" s="5">
        <v>0.3</v>
      </c>
      <c r="W396" s="5">
        <v>0.7</v>
      </c>
      <c r="X396" s="5">
        <v>1</v>
      </c>
      <c r="Y396" s="5">
        <v>0</v>
      </c>
      <c r="Z396" s="5">
        <v>0</v>
      </c>
      <c r="AA396" s="5">
        <v>0</v>
      </c>
      <c r="AB396" s="5">
        <v>0</v>
      </c>
      <c r="AC396" s="5">
        <v>0</v>
      </c>
      <c r="AD396" s="5">
        <v>3</v>
      </c>
    </row>
    <row r="397" spans="1:30" x14ac:dyDescent="0.25">
      <c r="A397" s="5">
        <v>3930</v>
      </c>
      <c r="B397" s="5" t="s">
        <v>455</v>
      </c>
      <c r="C397" s="5">
        <v>25</v>
      </c>
      <c r="D397" s="5" t="s">
        <v>49</v>
      </c>
      <c r="E397" s="5" t="s">
        <v>58</v>
      </c>
      <c r="F397" s="5">
        <v>1</v>
      </c>
      <c r="G397" s="5">
        <v>0</v>
      </c>
      <c r="H397" s="5">
        <v>8</v>
      </c>
      <c r="I397" s="5">
        <v>1</v>
      </c>
      <c r="J397" s="5">
        <v>4</v>
      </c>
      <c r="K397" s="6">
        <f>IFERROR(database_24_25!$I397/database_24_25!$J397,0)</f>
        <v>0.25</v>
      </c>
      <c r="L397" s="5">
        <v>0</v>
      </c>
      <c r="M397" s="5">
        <v>1</v>
      </c>
      <c r="N397" s="6">
        <f>IFERROR(database_24_25!$L397/database_24_25!$M397,0)</f>
        <v>0</v>
      </c>
      <c r="O397" s="5">
        <v>1</v>
      </c>
      <c r="P397" s="5">
        <f>database_24_25!$Q397/10</f>
        <v>3</v>
      </c>
      <c r="Q397" s="5">
        <v>30</v>
      </c>
      <c r="R397" s="6">
        <f>IFERROR(database_24_25!$O397/database_24_25!$P397,0)</f>
        <v>0.33333333333333331</v>
      </c>
      <c r="S397" s="5">
        <v>1</v>
      </c>
      <c r="T397" s="5">
        <v>2</v>
      </c>
      <c r="U397" s="6">
        <f>IFERROR(database_24_25!$S397/database_24_25!$T397,0)</f>
        <v>0.5</v>
      </c>
      <c r="V397" s="5">
        <v>0</v>
      </c>
      <c r="W397" s="5">
        <v>0</v>
      </c>
      <c r="X397" s="5">
        <v>0</v>
      </c>
      <c r="Y397" s="5">
        <v>2</v>
      </c>
      <c r="Z397" s="5">
        <v>0</v>
      </c>
      <c r="AA397" s="5">
        <v>0</v>
      </c>
      <c r="AB397" s="5">
        <v>0</v>
      </c>
      <c r="AC397" s="5">
        <v>1</v>
      </c>
      <c r="AD397" s="5">
        <v>3</v>
      </c>
    </row>
    <row r="398" spans="1:30" x14ac:dyDescent="0.25">
      <c r="A398" s="5">
        <v>3990</v>
      </c>
      <c r="B398" s="5" t="s">
        <v>461</v>
      </c>
      <c r="C398" s="5">
        <v>26</v>
      </c>
      <c r="D398" s="5" t="s">
        <v>124</v>
      </c>
      <c r="E398" s="5" t="s">
        <v>58</v>
      </c>
      <c r="F398" s="5">
        <v>2</v>
      </c>
      <c r="G398" s="5">
        <v>0</v>
      </c>
      <c r="H398" s="5">
        <v>10</v>
      </c>
      <c r="I398" s="5">
        <v>1</v>
      </c>
      <c r="J398" s="5">
        <v>5</v>
      </c>
      <c r="K398" s="6">
        <f>IFERROR(database_24_25!$I398/database_24_25!$J398,0)</f>
        <v>0.2</v>
      </c>
      <c r="L398" s="5">
        <v>0.5</v>
      </c>
      <c r="M398" s="5">
        <v>2</v>
      </c>
      <c r="N398" s="6">
        <f>IFERROR(database_24_25!$L398/database_24_25!$M398,0)</f>
        <v>0.25</v>
      </c>
      <c r="O398" s="5">
        <v>0.5</v>
      </c>
      <c r="P398" s="5">
        <f>database_24_25!$Q398/10</f>
        <v>3</v>
      </c>
      <c r="Q398" s="5">
        <v>30</v>
      </c>
      <c r="R398" s="6">
        <f>IFERROR(database_24_25!$O398/database_24_25!$P398,0)</f>
        <v>0.16666666666666666</v>
      </c>
      <c r="S398" s="5">
        <v>0.5</v>
      </c>
      <c r="T398" s="5">
        <v>1</v>
      </c>
      <c r="U398" s="6">
        <f>IFERROR(database_24_25!$S398/database_24_25!$T398,0)</f>
        <v>0.5</v>
      </c>
      <c r="V398" s="5">
        <v>2</v>
      </c>
      <c r="W398" s="5">
        <v>2</v>
      </c>
      <c r="X398" s="5">
        <v>4</v>
      </c>
      <c r="Y398" s="5">
        <v>0.5</v>
      </c>
      <c r="Z398" s="5">
        <v>1</v>
      </c>
      <c r="AA398" s="5">
        <v>0</v>
      </c>
      <c r="AB398" s="5">
        <v>1</v>
      </c>
      <c r="AC398" s="5">
        <v>0</v>
      </c>
      <c r="AD398" s="5">
        <v>3</v>
      </c>
    </row>
    <row r="399" spans="1:30" x14ac:dyDescent="0.25">
      <c r="A399" s="7">
        <v>3940</v>
      </c>
      <c r="B399" s="7" t="s">
        <v>456</v>
      </c>
      <c r="C399" s="7">
        <v>25</v>
      </c>
      <c r="D399" s="7" t="s">
        <v>45</v>
      </c>
      <c r="E399" s="7" t="s">
        <v>32</v>
      </c>
      <c r="F399" s="7">
        <v>1</v>
      </c>
      <c r="G399" s="7">
        <v>0</v>
      </c>
      <c r="H399" s="7">
        <v>3</v>
      </c>
      <c r="I399" s="7">
        <v>1</v>
      </c>
      <c r="J399" s="7">
        <v>2</v>
      </c>
      <c r="K399" s="6">
        <f>IFERROR(database_24_25!$I399/database_24_25!$J399,0)</f>
        <v>0.5</v>
      </c>
      <c r="L399" s="7">
        <v>1</v>
      </c>
      <c r="M399" s="7">
        <v>1</v>
      </c>
      <c r="N399" s="6">
        <f>IFERROR(database_24_25!$L399/database_24_25!$M399,0)</f>
        <v>1</v>
      </c>
      <c r="O399" s="7">
        <v>0</v>
      </c>
      <c r="P399" s="5">
        <f>database_24_25!$Q399/10</f>
        <v>1</v>
      </c>
      <c r="Q399" s="7">
        <v>10</v>
      </c>
      <c r="R399" s="6">
        <f>IFERROR(database_24_25!$O399/database_24_25!$P399,0)</f>
        <v>0</v>
      </c>
      <c r="S399" s="7">
        <v>0</v>
      </c>
      <c r="T399" s="7">
        <v>0</v>
      </c>
      <c r="U399" s="6">
        <f>IFERROR(database_24_25!$S399/database_24_25!$T399,0)</f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3</v>
      </c>
    </row>
    <row r="400" spans="1:30" x14ac:dyDescent="0.25">
      <c r="A400" s="7">
        <v>4000</v>
      </c>
      <c r="B400" s="7" t="s">
        <v>462</v>
      </c>
      <c r="C400" s="7">
        <v>24</v>
      </c>
      <c r="D400" s="7" t="s">
        <v>53</v>
      </c>
      <c r="E400" s="7" t="s">
        <v>27</v>
      </c>
      <c r="F400" s="7">
        <v>1</v>
      </c>
      <c r="G400" s="7">
        <v>0</v>
      </c>
      <c r="H400" s="7">
        <v>3</v>
      </c>
      <c r="I400" s="7">
        <v>1</v>
      </c>
      <c r="J400" s="7">
        <v>1</v>
      </c>
      <c r="K400" s="6">
        <f>IFERROR(database_24_25!$I400/database_24_25!$J400,0)</f>
        <v>1</v>
      </c>
      <c r="L400" s="7">
        <v>1</v>
      </c>
      <c r="M400" s="7">
        <v>1</v>
      </c>
      <c r="N400" s="6">
        <f>IFERROR(database_24_25!$L400/database_24_25!$M400,0)</f>
        <v>1</v>
      </c>
      <c r="O400" s="7">
        <v>0</v>
      </c>
      <c r="P400" s="5">
        <f>database_24_25!$Q400/10</f>
        <v>0</v>
      </c>
      <c r="Q400" s="7">
        <v>0</v>
      </c>
      <c r="R400" s="6">
        <f>IFERROR(database_24_25!$O400/database_24_25!$P400,0)</f>
        <v>0</v>
      </c>
      <c r="S400" s="7">
        <v>0</v>
      </c>
      <c r="T400" s="7">
        <v>0</v>
      </c>
      <c r="U400" s="6">
        <f>IFERROR(database_24_25!$S400/database_24_25!$T400,0)</f>
        <v>0</v>
      </c>
      <c r="V400" s="7">
        <v>0</v>
      </c>
      <c r="W400" s="7">
        <v>1</v>
      </c>
      <c r="X400" s="7">
        <v>1</v>
      </c>
      <c r="Y400" s="7">
        <v>0</v>
      </c>
      <c r="Z400" s="7">
        <v>0</v>
      </c>
      <c r="AA400" s="7">
        <v>0</v>
      </c>
      <c r="AB400" s="7">
        <v>0</v>
      </c>
      <c r="AC400" s="7">
        <v>3</v>
      </c>
      <c r="AD400" s="7">
        <v>3</v>
      </c>
    </row>
    <row r="401" spans="1:30" x14ac:dyDescent="0.25">
      <c r="A401" s="5">
        <v>4010</v>
      </c>
      <c r="B401" s="5" t="s">
        <v>463</v>
      </c>
      <c r="C401" s="5">
        <v>23</v>
      </c>
      <c r="D401" s="5" t="s">
        <v>51</v>
      </c>
      <c r="E401" s="5" t="s">
        <v>32</v>
      </c>
      <c r="F401" s="5">
        <v>1</v>
      </c>
      <c r="G401" s="5">
        <v>0</v>
      </c>
      <c r="H401" s="5">
        <v>8</v>
      </c>
      <c r="I401" s="5">
        <v>1</v>
      </c>
      <c r="J401" s="5">
        <v>3</v>
      </c>
      <c r="K401" s="6">
        <f>IFERROR(database_24_25!$I401/database_24_25!$J401,0)</f>
        <v>0.33333333333333331</v>
      </c>
      <c r="L401" s="5">
        <v>1</v>
      </c>
      <c r="M401" s="5">
        <v>3</v>
      </c>
      <c r="N401" s="6">
        <f>IFERROR(database_24_25!$L401/database_24_25!$M401,0)</f>
        <v>0.33333333333333331</v>
      </c>
      <c r="O401" s="5">
        <v>0</v>
      </c>
      <c r="P401" s="5">
        <f>database_24_25!$Q401/10</f>
        <v>0</v>
      </c>
      <c r="Q401" s="5">
        <v>0</v>
      </c>
      <c r="R401" s="6">
        <f>IFERROR(database_24_25!$O401/database_24_25!$P401,0)</f>
        <v>0</v>
      </c>
      <c r="S401" s="5">
        <v>0</v>
      </c>
      <c r="T401" s="5">
        <v>0</v>
      </c>
      <c r="U401" s="6">
        <f>IFERROR(database_24_25!$S401/database_24_25!$T401,0)</f>
        <v>0</v>
      </c>
      <c r="V401" s="5">
        <v>0</v>
      </c>
      <c r="W401" s="5">
        <v>0</v>
      </c>
      <c r="X401" s="5">
        <v>0</v>
      </c>
      <c r="Y401" s="5">
        <v>0</v>
      </c>
      <c r="Z401" s="5">
        <v>0</v>
      </c>
      <c r="AA401" s="5">
        <v>0</v>
      </c>
      <c r="AB401" s="5">
        <v>1</v>
      </c>
      <c r="AC401" s="5">
        <v>0</v>
      </c>
      <c r="AD401" s="5">
        <v>3</v>
      </c>
    </row>
    <row r="402" spans="1:30" x14ac:dyDescent="0.25">
      <c r="A402" s="5">
        <v>3950</v>
      </c>
      <c r="B402" s="5" t="s">
        <v>457</v>
      </c>
      <c r="C402" s="5">
        <v>38</v>
      </c>
      <c r="D402" s="5" t="s">
        <v>110</v>
      </c>
      <c r="E402" s="5" t="s">
        <v>27</v>
      </c>
      <c r="F402" s="5">
        <v>10</v>
      </c>
      <c r="G402" s="5">
        <v>1</v>
      </c>
      <c r="H402" s="5">
        <v>8.4</v>
      </c>
      <c r="I402" s="5">
        <v>1.1000000000000001</v>
      </c>
      <c r="J402" s="5">
        <v>2.1</v>
      </c>
      <c r="K402" s="6">
        <f>IFERROR(database_24_25!$I402/database_24_25!$J402,0)</f>
        <v>0.52380952380952384</v>
      </c>
      <c r="L402" s="5">
        <v>0.5</v>
      </c>
      <c r="M402" s="5">
        <v>1.3</v>
      </c>
      <c r="N402" s="6">
        <f>IFERROR(database_24_25!$L402/database_24_25!$M402,0)</f>
        <v>0.38461538461538458</v>
      </c>
      <c r="O402" s="5">
        <v>0.6</v>
      </c>
      <c r="P402" s="5">
        <f>database_24_25!$Q402/10</f>
        <v>0.8</v>
      </c>
      <c r="Q402" s="5">
        <v>8</v>
      </c>
      <c r="R402" s="6">
        <f>IFERROR(database_24_25!$O402/database_24_25!$P402,0)</f>
        <v>0.74999999999999989</v>
      </c>
      <c r="S402" s="5">
        <v>0.3</v>
      </c>
      <c r="T402" s="5">
        <v>0.4</v>
      </c>
      <c r="U402" s="6">
        <f>IFERROR(database_24_25!$S402/database_24_25!$T402,0)</f>
        <v>0.74999999999999989</v>
      </c>
      <c r="V402" s="5">
        <v>0.1</v>
      </c>
      <c r="W402" s="5">
        <v>1.1000000000000001</v>
      </c>
      <c r="X402" s="5">
        <v>1.2</v>
      </c>
      <c r="Y402" s="5">
        <v>0.1</v>
      </c>
      <c r="Z402" s="5">
        <v>0.3</v>
      </c>
      <c r="AA402" s="5">
        <v>0</v>
      </c>
      <c r="AB402" s="5">
        <v>0.3</v>
      </c>
      <c r="AC402" s="5">
        <v>0.7</v>
      </c>
      <c r="AD402" s="5">
        <v>3</v>
      </c>
    </row>
    <row r="403" spans="1:30" x14ac:dyDescent="0.25">
      <c r="A403" s="7">
        <v>3970</v>
      </c>
      <c r="B403" s="7" t="s">
        <v>459</v>
      </c>
      <c r="C403" s="7">
        <v>36</v>
      </c>
      <c r="D403" s="7" t="s">
        <v>34</v>
      </c>
      <c r="E403" s="7" t="s">
        <v>35</v>
      </c>
      <c r="F403" s="7">
        <v>21</v>
      </c>
      <c r="G403" s="7">
        <v>0</v>
      </c>
      <c r="H403" s="7">
        <v>10.4</v>
      </c>
      <c r="I403" s="7">
        <v>1.4</v>
      </c>
      <c r="J403" s="7">
        <v>2.2000000000000002</v>
      </c>
      <c r="K403" s="6">
        <f>IFERROR(database_24_25!$I403/database_24_25!$J403,0)</f>
        <v>0.63636363636363624</v>
      </c>
      <c r="L403" s="7">
        <v>0</v>
      </c>
      <c r="M403" s="7">
        <v>0</v>
      </c>
      <c r="N403" s="6">
        <f>IFERROR(database_24_25!$L403/database_24_25!$M403,0)</f>
        <v>0</v>
      </c>
      <c r="O403" s="7">
        <v>1.4</v>
      </c>
      <c r="P403" s="5">
        <f>database_24_25!$Q403/10</f>
        <v>2.2000000000000002</v>
      </c>
      <c r="Q403" s="7">
        <v>22</v>
      </c>
      <c r="R403" s="6">
        <f>IFERROR(database_24_25!$O403/database_24_25!$P403,0)</f>
        <v>0.63636363636363624</v>
      </c>
      <c r="S403" s="7">
        <v>0.2</v>
      </c>
      <c r="T403" s="7">
        <v>0.6</v>
      </c>
      <c r="U403" s="6">
        <f>IFERROR(database_24_25!$S403/database_24_25!$T403,0)</f>
        <v>0.33333333333333337</v>
      </c>
      <c r="V403" s="7">
        <v>0.9</v>
      </c>
      <c r="W403" s="7">
        <v>3</v>
      </c>
      <c r="X403" s="7">
        <v>3.9</v>
      </c>
      <c r="Y403" s="7">
        <v>0.9</v>
      </c>
      <c r="Z403" s="7">
        <v>0.3</v>
      </c>
      <c r="AA403" s="7">
        <v>0.5</v>
      </c>
      <c r="AB403" s="7">
        <v>0.7</v>
      </c>
      <c r="AC403" s="7">
        <v>1.1000000000000001</v>
      </c>
      <c r="AD403" s="7">
        <v>3</v>
      </c>
    </row>
    <row r="404" spans="1:30" x14ac:dyDescent="0.25">
      <c r="A404" s="5">
        <v>4030</v>
      </c>
      <c r="B404" s="5" t="s">
        <v>465</v>
      </c>
      <c r="C404" s="5">
        <v>22</v>
      </c>
      <c r="D404" s="5" t="s">
        <v>94</v>
      </c>
      <c r="E404" s="5" t="s">
        <v>58</v>
      </c>
      <c r="F404" s="5">
        <v>23</v>
      </c>
      <c r="G404" s="5">
        <v>0</v>
      </c>
      <c r="H404" s="5">
        <v>8.3000000000000007</v>
      </c>
      <c r="I404" s="5">
        <v>1.2</v>
      </c>
      <c r="J404" s="5">
        <v>2.7</v>
      </c>
      <c r="K404" s="6">
        <f>IFERROR(database_24_25!$I404/database_24_25!$J404,0)</f>
        <v>0.44444444444444442</v>
      </c>
      <c r="L404" s="5">
        <v>0.3</v>
      </c>
      <c r="M404" s="5">
        <v>0.9</v>
      </c>
      <c r="N404" s="6">
        <f>IFERROR(database_24_25!$L404/database_24_25!$M404,0)</f>
        <v>0.33333333333333331</v>
      </c>
      <c r="O404" s="5">
        <v>0.9</v>
      </c>
      <c r="P404" s="5">
        <f>database_24_25!$Q404/10</f>
        <v>1.7</v>
      </c>
      <c r="Q404" s="5">
        <v>17</v>
      </c>
      <c r="R404" s="6">
        <f>IFERROR(database_24_25!$O404/database_24_25!$P404,0)</f>
        <v>0.52941176470588236</v>
      </c>
      <c r="S404" s="5">
        <v>0.3</v>
      </c>
      <c r="T404" s="5">
        <v>0.5</v>
      </c>
      <c r="U404" s="6">
        <f>IFERROR(database_24_25!$S404/database_24_25!$T404,0)</f>
        <v>0.6</v>
      </c>
      <c r="V404" s="5">
        <v>0.3</v>
      </c>
      <c r="W404" s="5">
        <v>1.1000000000000001</v>
      </c>
      <c r="X404" s="5">
        <v>1.4</v>
      </c>
      <c r="Y404" s="5">
        <v>0.4</v>
      </c>
      <c r="Z404" s="5">
        <v>0.5</v>
      </c>
      <c r="AA404" s="5">
        <v>0.3</v>
      </c>
      <c r="AB404" s="5">
        <v>0.2</v>
      </c>
      <c r="AC404" s="5">
        <v>0.7</v>
      </c>
      <c r="AD404" s="5">
        <v>2.9</v>
      </c>
    </row>
    <row r="405" spans="1:30" x14ac:dyDescent="0.25">
      <c r="A405" s="7">
        <v>4040</v>
      </c>
      <c r="B405" s="7" t="s">
        <v>466</v>
      </c>
      <c r="C405" s="7">
        <v>21</v>
      </c>
      <c r="D405" s="7" t="s">
        <v>31</v>
      </c>
      <c r="E405" s="7" t="s">
        <v>27</v>
      </c>
      <c r="F405" s="7">
        <v>20</v>
      </c>
      <c r="G405" s="7">
        <v>0</v>
      </c>
      <c r="H405" s="7">
        <v>10.199999999999999</v>
      </c>
      <c r="I405" s="7">
        <v>1.1000000000000001</v>
      </c>
      <c r="J405" s="7">
        <v>3.3</v>
      </c>
      <c r="K405" s="6">
        <f>IFERROR(database_24_25!$I405/database_24_25!$J405,0)</f>
        <v>0.33333333333333337</v>
      </c>
      <c r="L405" s="7">
        <v>0.5</v>
      </c>
      <c r="M405" s="7">
        <v>1.9</v>
      </c>
      <c r="N405" s="6">
        <f>IFERROR(database_24_25!$L405/database_24_25!$M405,0)</f>
        <v>0.26315789473684209</v>
      </c>
      <c r="O405" s="7">
        <v>0.6</v>
      </c>
      <c r="P405" s="5">
        <f>database_24_25!$Q405/10</f>
        <v>1.4</v>
      </c>
      <c r="Q405" s="7">
        <v>14</v>
      </c>
      <c r="R405" s="6">
        <f>IFERROR(database_24_25!$O405/database_24_25!$P405,0)</f>
        <v>0.4285714285714286</v>
      </c>
      <c r="S405" s="7">
        <v>0.4</v>
      </c>
      <c r="T405" s="7">
        <v>0.6</v>
      </c>
      <c r="U405" s="6">
        <f>IFERROR(database_24_25!$S405/database_24_25!$T405,0)</f>
        <v>0.66666666666666674</v>
      </c>
      <c r="V405" s="7">
        <v>0.5</v>
      </c>
      <c r="W405" s="7">
        <v>1.9</v>
      </c>
      <c r="X405" s="7">
        <v>2.4</v>
      </c>
      <c r="Y405" s="7">
        <v>0.7</v>
      </c>
      <c r="Z405" s="7">
        <v>0.7</v>
      </c>
      <c r="AA405" s="7">
        <v>0.2</v>
      </c>
      <c r="AB405" s="7">
        <v>0.3</v>
      </c>
      <c r="AC405" s="7">
        <v>1</v>
      </c>
      <c r="AD405" s="7">
        <v>2.9</v>
      </c>
    </row>
    <row r="406" spans="1:30" x14ac:dyDescent="0.25">
      <c r="A406" s="7">
        <v>4050</v>
      </c>
      <c r="B406" s="7" t="s">
        <v>467</v>
      </c>
      <c r="C406" s="7">
        <v>28</v>
      </c>
      <c r="D406" s="7" t="s">
        <v>88</v>
      </c>
      <c r="E406" s="7" t="s">
        <v>58</v>
      </c>
      <c r="F406" s="7">
        <v>20</v>
      </c>
      <c r="G406" s="7">
        <v>2</v>
      </c>
      <c r="H406" s="7">
        <v>14.4</v>
      </c>
      <c r="I406" s="7">
        <v>1.1000000000000001</v>
      </c>
      <c r="J406" s="7">
        <v>2.6</v>
      </c>
      <c r="K406" s="6">
        <f>IFERROR(database_24_25!$I406/database_24_25!$J406,0)</f>
        <v>0.42307692307692307</v>
      </c>
      <c r="L406" s="7">
        <v>0.6</v>
      </c>
      <c r="M406" s="7">
        <v>1.9</v>
      </c>
      <c r="N406" s="6">
        <f>IFERROR(database_24_25!$L406/database_24_25!$M406,0)</f>
        <v>0.31578947368421051</v>
      </c>
      <c r="O406" s="7">
        <v>0.5</v>
      </c>
      <c r="P406" s="5">
        <f>database_24_25!$Q406/10</f>
        <v>0.7</v>
      </c>
      <c r="Q406" s="7">
        <v>7</v>
      </c>
      <c r="R406" s="6">
        <f>IFERROR(database_24_25!$O406/database_24_25!$P406,0)</f>
        <v>0.7142857142857143</v>
      </c>
      <c r="S406" s="7">
        <v>0.2</v>
      </c>
      <c r="T406" s="7">
        <v>0.3</v>
      </c>
      <c r="U406" s="6">
        <f>IFERROR(database_24_25!$S406/database_24_25!$T406,0)</f>
        <v>0.66666666666666674</v>
      </c>
      <c r="V406" s="7">
        <v>1.1000000000000001</v>
      </c>
      <c r="W406" s="7">
        <v>2.9</v>
      </c>
      <c r="X406" s="7">
        <v>4</v>
      </c>
      <c r="Y406" s="7">
        <v>1.2</v>
      </c>
      <c r="Z406" s="7">
        <v>0.7</v>
      </c>
      <c r="AA406" s="7">
        <v>0.5</v>
      </c>
      <c r="AB406" s="7">
        <v>0.5</v>
      </c>
      <c r="AC406" s="7">
        <v>1.1000000000000001</v>
      </c>
      <c r="AD406" s="7">
        <v>2.9</v>
      </c>
    </row>
    <row r="407" spans="1:30" x14ac:dyDescent="0.25">
      <c r="A407" s="5">
        <v>4090</v>
      </c>
      <c r="B407" s="5" t="s">
        <v>471</v>
      </c>
      <c r="C407" s="5">
        <v>32</v>
      </c>
      <c r="D407" s="5" t="s">
        <v>29</v>
      </c>
      <c r="E407" s="5" t="s">
        <v>32</v>
      </c>
      <c r="F407" s="5">
        <v>22</v>
      </c>
      <c r="G407" s="5">
        <v>2</v>
      </c>
      <c r="H407" s="5">
        <v>16.600000000000001</v>
      </c>
      <c r="I407" s="5">
        <v>1</v>
      </c>
      <c r="J407" s="5">
        <v>3.2</v>
      </c>
      <c r="K407" s="6">
        <f>IFERROR(database_24_25!$I407/database_24_25!$J407,0)</f>
        <v>0.3125</v>
      </c>
      <c r="L407" s="5">
        <v>0.5</v>
      </c>
      <c r="M407" s="5">
        <v>1.9</v>
      </c>
      <c r="N407" s="6">
        <f>IFERROR(database_24_25!$L407/database_24_25!$M407,0)</f>
        <v>0.26315789473684209</v>
      </c>
      <c r="O407" s="5">
        <v>0.5</v>
      </c>
      <c r="P407" s="5">
        <f>database_24_25!$Q407/10</f>
        <v>1.3</v>
      </c>
      <c r="Q407" s="5">
        <v>13</v>
      </c>
      <c r="R407" s="6">
        <f>IFERROR(database_24_25!$O407/database_24_25!$P407,0)</f>
        <v>0.38461538461538458</v>
      </c>
      <c r="S407" s="5">
        <v>0.4</v>
      </c>
      <c r="T407" s="5">
        <v>0.6</v>
      </c>
      <c r="U407" s="6">
        <f>IFERROR(database_24_25!$S407/database_24_25!$T407,0)</f>
        <v>0.66666666666666674</v>
      </c>
      <c r="V407" s="5">
        <v>0.7</v>
      </c>
      <c r="W407" s="5">
        <v>1.2</v>
      </c>
      <c r="X407" s="5">
        <v>1.9</v>
      </c>
      <c r="Y407" s="5">
        <v>1.9</v>
      </c>
      <c r="Z407" s="5">
        <v>0.9</v>
      </c>
      <c r="AA407" s="5">
        <v>0.3</v>
      </c>
      <c r="AB407" s="5">
        <v>0.6</v>
      </c>
      <c r="AC407" s="5">
        <v>0.7</v>
      </c>
      <c r="AD407" s="5">
        <v>2.8</v>
      </c>
    </row>
    <row r="408" spans="1:30" x14ac:dyDescent="0.25">
      <c r="A408" s="5">
        <v>4070</v>
      </c>
      <c r="B408" s="5" t="s">
        <v>469</v>
      </c>
      <c r="C408" s="5">
        <v>25</v>
      </c>
      <c r="D408" s="5" t="s">
        <v>75</v>
      </c>
      <c r="E408" s="5" t="s">
        <v>27</v>
      </c>
      <c r="F408" s="5">
        <v>9</v>
      </c>
      <c r="G408" s="5">
        <v>0</v>
      </c>
      <c r="H408" s="5">
        <v>7.6</v>
      </c>
      <c r="I408" s="5">
        <v>1.2</v>
      </c>
      <c r="J408" s="5">
        <v>2.9</v>
      </c>
      <c r="K408" s="6">
        <f>IFERROR(database_24_25!$I408/database_24_25!$J408,0)</f>
        <v>0.41379310344827586</v>
      </c>
      <c r="L408" s="5">
        <v>0.2</v>
      </c>
      <c r="M408" s="5">
        <v>0.8</v>
      </c>
      <c r="N408" s="6">
        <f>IFERROR(database_24_25!$L408/database_24_25!$M408,0)</f>
        <v>0.25</v>
      </c>
      <c r="O408" s="5">
        <v>1</v>
      </c>
      <c r="P408" s="5">
        <f>database_24_25!$Q408/10</f>
        <v>2.1</v>
      </c>
      <c r="Q408" s="5">
        <v>21</v>
      </c>
      <c r="R408" s="6">
        <f>IFERROR(database_24_25!$O408/database_24_25!$P408,0)</f>
        <v>0.47619047619047616</v>
      </c>
      <c r="S408" s="5">
        <v>0.1</v>
      </c>
      <c r="T408" s="5">
        <v>0.2</v>
      </c>
      <c r="U408" s="6">
        <f>IFERROR(database_24_25!$S408/database_24_25!$T408,0)</f>
        <v>0.5</v>
      </c>
      <c r="V408" s="5">
        <v>0.7</v>
      </c>
      <c r="W408" s="5">
        <v>1.4</v>
      </c>
      <c r="X408" s="5">
        <v>2.1</v>
      </c>
      <c r="Y408" s="5">
        <v>0.6</v>
      </c>
      <c r="Z408" s="5">
        <v>0.1</v>
      </c>
      <c r="AA408" s="5">
        <v>0</v>
      </c>
      <c r="AB408" s="5">
        <v>0</v>
      </c>
      <c r="AC408" s="5">
        <v>0.9</v>
      </c>
      <c r="AD408" s="5">
        <v>2.8</v>
      </c>
    </row>
    <row r="409" spans="1:30" x14ac:dyDescent="0.25">
      <c r="A409" s="7">
        <v>4080</v>
      </c>
      <c r="B409" s="7" t="s">
        <v>470</v>
      </c>
      <c r="C409" s="7">
        <v>20</v>
      </c>
      <c r="D409" s="7" t="s">
        <v>108</v>
      </c>
      <c r="E409" s="7" t="s">
        <v>58</v>
      </c>
      <c r="F409" s="7">
        <v>21</v>
      </c>
      <c r="G409" s="7">
        <v>0</v>
      </c>
      <c r="H409" s="7">
        <v>9.9</v>
      </c>
      <c r="I409" s="7">
        <v>1</v>
      </c>
      <c r="J409" s="7">
        <v>2.6</v>
      </c>
      <c r="K409" s="6">
        <f>IFERROR(database_24_25!$I409/database_24_25!$J409,0)</f>
        <v>0.38461538461538458</v>
      </c>
      <c r="L409" s="7">
        <v>0.5</v>
      </c>
      <c r="M409" s="7">
        <v>1.5</v>
      </c>
      <c r="N409" s="6">
        <f>IFERROR(database_24_25!$L409/database_24_25!$M409,0)</f>
        <v>0.33333333333333331</v>
      </c>
      <c r="O409" s="7">
        <v>0.4</v>
      </c>
      <c r="P409" s="5">
        <f>database_24_25!$Q409/10</f>
        <v>1</v>
      </c>
      <c r="Q409" s="7">
        <v>10</v>
      </c>
      <c r="R409" s="6">
        <f>IFERROR(database_24_25!$O409/database_24_25!$P409,0)</f>
        <v>0.4</v>
      </c>
      <c r="S409" s="7">
        <v>0.3</v>
      </c>
      <c r="T409" s="7">
        <v>0.3</v>
      </c>
      <c r="U409" s="6">
        <f>IFERROR(database_24_25!$S409/database_24_25!$T409,0)</f>
        <v>1</v>
      </c>
      <c r="V409" s="7">
        <v>0.6</v>
      </c>
      <c r="W409" s="7">
        <v>0.8</v>
      </c>
      <c r="X409" s="7">
        <v>1.4</v>
      </c>
      <c r="Y409" s="7">
        <v>0.4</v>
      </c>
      <c r="Z409" s="7">
        <v>0.4</v>
      </c>
      <c r="AA409" s="7">
        <v>0.3</v>
      </c>
      <c r="AB409" s="7">
        <v>0.4</v>
      </c>
      <c r="AC409" s="7">
        <v>1</v>
      </c>
      <c r="AD409" s="7">
        <v>2.8</v>
      </c>
    </row>
    <row r="410" spans="1:30" x14ac:dyDescent="0.25">
      <c r="A410" s="7">
        <v>4060</v>
      </c>
      <c r="B410" s="7" t="s">
        <v>468</v>
      </c>
      <c r="C410" s="7">
        <v>31</v>
      </c>
      <c r="D410" s="7" t="s">
        <v>110</v>
      </c>
      <c r="E410" s="7" t="s">
        <v>35</v>
      </c>
      <c r="F410" s="7">
        <v>21</v>
      </c>
      <c r="G410" s="7">
        <v>0</v>
      </c>
      <c r="H410" s="7">
        <v>10.1</v>
      </c>
      <c r="I410" s="7">
        <v>1.1000000000000001</v>
      </c>
      <c r="J410" s="7">
        <v>1.8</v>
      </c>
      <c r="K410" s="6">
        <f>IFERROR(database_24_25!$I410/database_24_25!$J410,0)</f>
        <v>0.61111111111111116</v>
      </c>
      <c r="L410" s="7">
        <v>0</v>
      </c>
      <c r="M410" s="7">
        <v>0</v>
      </c>
      <c r="N410" s="6">
        <f>IFERROR(database_24_25!$L410/database_24_25!$M410,0)</f>
        <v>0</v>
      </c>
      <c r="O410" s="7">
        <v>1.1000000000000001</v>
      </c>
      <c r="P410" s="5">
        <f>database_24_25!$Q410/10</f>
        <v>1.8</v>
      </c>
      <c r="Q410" s="7">
        <v>18</v>
      </c>
      <c r="R410" s="6">
        <f>IFERROR(database_24_25!$O410/database_24_25!$P410,0)</f>
        <v>0.61111111111111116</v>
      </c>
      <c r="S410" s="7">
        <v>0.6</v>
      </c>
      <c r="T410" s="7">
        <v>1.4</v>
      </c>
      <c r="U410" s="6">
        <f>IFERROR(database_24_25!$S410/database_24_25!$T410,0)</f>
        <v>0.4285714285714286</v>
      </c>
      <c r="V410" s="7">
        <v>1.8</v>
      </c>
      <c r="W410" s="7">
        <v>2.1</v>
      </c>
      <c r="X410" s="7">
        <v>4</v>
      </c>
      <c r="Y410" s="7">
        <v>1.1000000000000001</v>
      </c>
      <c r="Z410" s="7">
        <v>0.2</v>
      </c>
      <c r="AA410" s="7">
        <v>0.2</v>
      </c>
      <c r="AB410" s="7">
        <v>1</v>
      </c>
      <c r="AC410" s="7">
        <v>1</v>
      </c>
      <c r="AD410" s="7">
        <v>2.8</v>
      </c>
    </row>
    <row r="411" spans="1:30" x14ac:dyDescent="0.25">
      <c r="A411" s="5">
        <v>4100</v>
      </c>
      <c r="B411" s="5" t="s">
        <v>472</v>
      </c>
      <c r="C411" s="5">
        <v>23</v>
      </c>
      <c r="D411" s="5" t="s">
        <v>45</v>
      </c>
      <c r="E411" s="5" t="s">
        <v>32</v>
      </c>
      <c r="F411" s="5">
        <v>3</v>
      </c>
      <c r="G411" s="5">
        <v>0</v>
      </c>
      <c r="H411" s="5">
        <v>9</v>
      </c>
      <c r="I411" s="5">
        <v>1</v>
      </c>
      <c r="J411" s="5">
        <v>2</v>
      </c>
      <c r="K411" s="6">
        <f>IFERROR(database_24_25!$I411/database_24_25!$J411,0)</f>
        <v>0.5</v>
      </c>
      <c r="L411" s="5">
        <v>0.7</v>
      </c>
      <c r="M411" s="5">
        <v>1</v>
      </c>
      <c r="N411" s="6">
        <f>IFERROR(database_24_25!$L411/database_24_25!$M411,0)</f>
        <v>0.7</v>
      </c>
      <c r="O411" s="5">
        <v>0.3</v>
      </c>
      <c r="P411" s="5">
        <f>database_24_25!$Q411/10</f>
        <v>1</v>
      </c>
      <c r="Q411" s="5">
        <v>10</v>
      </c>
      <c r="R411" s="6">
        <f>IFERROR(database_24_25!$O411/database_24_25!$P411,0)</f>
        <v>0.3</v>
      </c>
      <c r="S411" s="5">
        <v>0</v>
      </c>
      <c r="T411" s="5">
        <v>0</v>
      </c>
      <c r="U411" s="6">
        <f>IFERROR(database_24_25!$S411/database_24_25!$T411,0)</f>
        <v>0</v>
      </c>
      <c r="V411" s="5">
        <v>0</v>
      </c>
      <c r="W411" s="5">
        <v>0.3</v>
      </c>
      <c r="X411" s="5">
        <v>0.3</v>
      </c>
      <c r="Y411" s="5">
        <v>1.3</v>
      </c>
      <c r="Z411" s="5">
        <v>0.7</v>
      </c>
      <c r="AA411" s="5">
        <v>0</v>
      </c>
      <c r="AB411" s="5">
        <v>0.3</v>
      </c>
      <c r="AC411" s="5">
        <v>0</v>
      </c>
      <c r="AD411" s="5">
        <v>2.7</v>
      </c>
    </row>
    <row r="412" spans="1:30" x14ac:dyDescent="0.25">
      <c r="A412" s="7">
        <v>4120</v>
      </c>
      <c r="B412" s="7" t="s">
        <v>474</v>
      </c>
      <c r="C412" s="7">
        <v>28</v>
      </c>
      <c r="D412" s="7" t="s">
        <v>124</v>
      </c>
      <c r="E412" s="7" t="s">
        <v>35</v>
      </c>
      <c r="F412" s="7">
        <v>15</v>
      </c>
      <c r="G412" s="7">
        <v>0</v>
      </c>
      <c r="H412" s="7">
        <v>6.1</v>
      </c>
      <c r="I412" s="7">
        <v>0.9</v>
      </c>
      <c r="J412" s="7">
        <v>2.1</v>
      </c>
      <c r="K412" s="6">
        <f>IFERROR(database_24_25!$I412/database_24_25!$J412,0)</f>
        <v>0.42857142857142855</v>
      </c>
      <c r="L412" s="7">
        <v>0.6</v>
      </c>
      <c r="M412" s="7">
        <v>1.6</v>
      </c>
      <c r="N412" s="6">
        <f>IFERROR(database_24_25!$L412/database_24_25!$M412,0)</f>
        <v>0.37499999999999994</v>
      </c>
      <c r="O412" s="7">
        <v>0.3</v>
      </c>
      <c r="P412" s="5">
        <f>database_24_25!$Q412/10</f>
        <v>0.5</v>
      </c>
      <c r="Q412" s="7">
        <v>5</v>
      </c>
      <c r="R412" s="6">
        <f>IFERROR(database_24_25!$O412/database_24_25!$P412,0)</f>
        <v>0.6</v>
      </c>
      <c r="S412" s="7">
        <v>0.3</v>
      </c>
      <c r="T412" s="7">
        <v>0.4</v>
      </c>
      <c r="U412" s="6">
        <f>IFERROR(database_24_25!$S412/database_24_25!$T412,0)</f>
        <v>0.74999999999999989</v>
      </c>
      <c r="V412" s="7">
        <v>0.4</v>
      </c>
      <c r="W412" s="7">
        <v>0.5</v>
      </c>
      <c r="X412" s="7">
        <v>0.9</v>
      </c>
      <c r="Y412" s="7">
        <v>0.3</v>
      </c>
      <c r="Z412" s="7">
        <v>0</v>
      </c>
      <c r="AA412" s="7">
        <v>0.1</v>
      </c>
      <c r="AB412" s="7">
        <v>0.1</v>
      </c>
      <c r="AC412" s="7">
        <v>0.7</v>
      </c>
      <c r="AD412" s="7">
        <v>2.6</v>
      </c>
    </row>
    <row r="413" spans="1:30" x14ac:dyDescent="0.25">
      <c r="A413" s="5">
        <v>4130</v>
      </c>
      <c r="B413" s="5" t="s">
        <v>475</v>
      </c>
      <c r="C413" s="5">
        <v>24</v>
      </c>
      <c r="D413" s="5" t="s">
        <v>34</v>
      </c>
      <c r="E413" s="5" t="s">
        <v>27</v>
      </c>
      <c r="F413" s="5">
        <v>23</v>
      </c>
      <c r="G413" s="5">
        <v>0</v>
      </c>
      <c r="H413" s="5">
        <v>9</v>
      </c>
      <c r="I413" s="5">
        <v>0.8</v>
      </c>
      <c r="J413" s="5">
        <v>2</v>
      </c>
      <c r="K413" s="6">
        <f>IFERROR(database_24_25!$I413/database_24_25!$J413,0)</f>
        <v>0.4</v>
      </c>
      <c r="L413" s="5">
        <v>0.3</v>
      </c>
      <c r="M413" s="5">
        <v>1.1000000000000001</v>
      </c>
      <c r="N413" s="6">
        <f>IFERROR(database_24_25!$L413/database_24_25!$M413,0)</f>
        <v>0.27272727272727271</v>
      </c>
      <c r="O413" s="5">
        <v>0.5</v>
      </c>
      <c r="P413" s="5">
        <f>database_24_25!$Q413/10</f>
        <v>0.8</v>
      </c>
      <c r="Q413" s="5">
        <v>8</v>
      </c>
      <c r="R413" s="6">
        <f>IFERROR(database_24_25!$O413/database_24_25!$P413,0)</f>
        <v>0.625</v>
      </c>
      <c r="S413" s="5">
        <v>0.6</v>
      </c>
      <c r="T413" s="5">
        <v>0.7</v>
      </c>
      <c r="U413" s="6">
        <f>IFERROR(database_24_25!$S413/database_24_25!$T413,0)</f>
        <v>0.85714285714285721</v>
      </c>
      <c r="V413" s="5">
        <v>0.4</v>
      </c>
      <c r="W413" s="5">
        <v>1.3</v>
      </c>
      <c r="X413" s="5">
        <v>1.7</v>
      </c>
      <c r="Y413" s="5">
        <v>0.5</v>
      </c>
      <c r="Z413" s="5">
        <v>0.2</v>
      </c>
      <c r="AA413" s="5">
        <v>0.2</v>
      </c>
      <c r="AB413" s="5">
        <v>0.4</v>
      </c>
      <c r="AC413" s="5">
        <v>1</v>
      </c>
      <c r="AD413" s="5">
        <v>2.6</v>
      </c>
    </row>
    <row r="414" spans="1:30" x14ac:dyDescent="0.25">
      <c r="A414" s="7">
        <v>4110</v>
      </c>
      <c r="B414" s="7" t="s">
        <v>473</v>
      </c>
      <c r="C414" s="7">
        <v>39</v>
      </c>
      <c r="D414" s="7" t="s">
        <v>37</v>
      </c>
      <c r="E414" s="7" t="s">
        <v>35</v>
      </c>
      <c r="F414" s="7">
        <v>14</v>
      </c>
      <c r="G414" s="7">
        <v>8</v>
      </c>
      <c r="H414" s="7">
        <v>10.8</v>
      </c>
      <c r="I414" s="7">
        <v>1.1000000000000001</v>
      </c>
      <c r="J414" s="7">
        <v>2.4</v>
      </c>
      <c r="K414" s="6">
        <f>IFERROR(database_24_25!$I414/database_24_25!$J414,0)</f>
        <v>0.45833333333333337</v>
      </c>
      <c r="L414" s="7">
        <v>0.1</v>
      </c>
      <c r="M414" s="7">
        <v>0.1</v>
      </c>
      <c r="N414" s="6">
        <f>IFERROR(database_24_25!$L414/database_24_25!$M414,0)</f>
        <v>1</v>
      </c>
      <c r="O414" s="7">
        <v>1.1000000000000001</v>
      </c>
      <c r="P414" s="5">
        <f>database_24_25!$Q414/10</f>
        <v>2.2999999999999998</v>
      </c>
      <c r="Q414" s="7">
        <v>23</v>
      </c>
      <c r="R414" s="6">
        <f>IFERROR(database_24_25!$O414/database_24_25!$P414,0)</f>
        <v>0.47826086956521746</v>
      </c>
      <c r="S414" s="7">
        <v>0.3</v>
      </c>
      <c r="T414" s="7">
        <v>0.4</v>
      </c>
      <c r="U414" s="6">
        <f>IFERROR(database_24_25!$S414/database_24_25!$T414,0)</f>
        <v>0.74999999999999989</v>
      </c>
      <c r="V414" s="7">
        <v>1.5</v>
      </c>
      <c r="W414" s="7">
        <v>1.7</v>
      </c>
      <c r="X414" s="7">
        <v>3.2</v>
      </c>
      <c r="Y414" s="7">
        <v>0.5</v>
      </c>
      <c r="Z414" s="7">
        <v>0.4</v>
      </c>
      <c r="AA414" s="7">
        <v>0.2</v>
      </c>
      <c r="AB414" s="7">
        <v>0.6</v>
      </c>
      <c r="AC414" s="7">
        <v>1.3</v>
      </c>
      <c r="AD414" s="7">
        <v>2.6</v>
      </c>
    </row>
    <row r="415" spans="1:30" x14ac:dyDescent="0.25">
      <c r="A415" s="5">
        <v>4150</v>
      </c>
      <c r="B415" s="5" t="s">
        <v>477</v>
      </c>
      <c r="C415" s="5">
        <v>24</v>
      </c>
      <c r="D415" s="5" t="s">
        <v>79</v>
      </c>
      <c r="E415" s="5" t="s">
        <v>32</v>
      </c>
      <c r="F415" s="5">
        <v>20</v>
      </c>
      <c r="G415" s="5">
        <v>0</v>
      </c>
      <c r="H415" s="5">
        <v>8.6</v>
      </c>
      <c r="I415" s="5">
        <v>1</v>
      </c>
      <c r="J415" s="5">
        <v>1.9</v>
      </c>
      <c r="K415" s="6">
        <f>IFERROR(database_24_25!$I415/database_24_25!$J415,0)</f>
        <v>0.52631578947368418</v>
      </c>
      <c r="L415" s="5">
        <v>0.3</v>
      </c>
      <c r="M415" s="5">
        <v>0.6</v>
      </c>
      <c r="N415" s="6">
        <f>IFERROR(database_24_25!$L415/database_24_25!$M415,0)</f>
        <v>0.5</v>
      </c>
      <c r="O415" s="5">
        <v>0.8</v>
      </c>
      <c r="P415" s="5">
        <f>database_24_25!$Q415/10</f>
        <v>1.3</v>
      </c>
      <c r="Q415" s="5">
        <v>13</v>
      </c>
      <c r="R415" s="6">
        <f>IFERROR(database_24_25!$O415/database_24_25!$P415,0)</f>
        <v>0.61538461538461542</v>
      </c>
      <c r="S415" s="5">
        <v>0.3</v>
      </c>
      <c r="T415" s="5">
        <v>0.4</v>
      </c>
      <c r="U415" s="6">
        <f>IFERROR(database_24_25!$S415/database_24_25!$T415,0)</f>
        <v>0.74999999999999989</v>
      </c>
      <c r="V415" s="5">
        <v>0.1</v>
      </c>
      <c r="W415" s="5">
        <v>0.8</v>
      </c>
      <c r="X415" s="5">
        <v>0.9</v>
      </c>
      <c r="Y415" s="5">
        <v>1.2</v>
      </c>
      <c r="Z415" s="5">
        <v>0.3</v>
      </c>
      <c r="AA415" s="5">
        <v>0.4</v>
      </c>
      <c r="AB415" s="5">
        <v>0.5</v>
      </c>
      <c r="AC415" s="5">
        <v>0.5</v>
      </c>
      <c r="AD415" s="5">
        <v>2.5</v>
      </c>
    </row>
    <row r="416" spans="1:30" x14ac:dyDescent="0.25">
      <c r="A416" s="7">
        <v>4140</v>
      </c>
      <c r="B416" s="7" t="s">
        <v>476</v>
      </c>
      <c r="C416" s="7">
        <v>24</v>
      </c>
      <c r="D416" s="7" t="s">
        <v>90</v>
      </c>
      <c r="E416" s="7" t="s">
        <v>27</v>
      </c>
      <c r="F416" s="7">
        <v>6</v>
      </c>
      <c r="G416" s="7">
        <v>0</v>
      </c>
      <c r="H416" s="7">
        <v>5.2</v>
      </c>
      <c r="I416" s="7">
        <v>0.8</v>
      </c>
      <c r="J416" s="7">
        <v>1.3</v>
      </c>
      <c r="K416" s="6">
        <f>IFERROR(database_24_25!$I416/database_24_25!$J416,0)</f>
        <v>0.61538461538461542</v>
      </c>
      <c r="L416" s="7">
        <v>0.5</v>
      </c>
      <c r="M416" s="7">
        <v>1</v>
      </c>
      <c r="N416" s="6">
        <f>IFERROR(database_24_25!$L416/database_24_25!$M416,0)</f>
        <v>0.5</v>
      </c>
      <c r="O416" s="7">
        <v>0.3</v>
      </c>
      <c r="P416" s="5">
        <f>database_24_25!$Q416/10</f>
        <v>0.3</v>
      </c>
      <c r="Q416" s="7">
        <v>3</v>
      </c>
      <c r="R416" s="6">
        <f>IFERROR(database_24_25!$O416/database_24_25!$P416,0)</f>
        <v>1</v>
      </c>
      <c r="S416" s="7">
        <v>0.3</v>
      </c>
      <c r="T416" s="7">
        <v>0.3</v>
      </c>
      <c r="U416" s="6">
        <f>IFERROR(database_24_25!$S416/database_24_25!$T416,0)</f>
        <v>1</v>
      </c>
      <c r="V416" s="7">
        <v>0.2</v>
      </c>
      <c r="W416" s="7">
        <v>0.7</v>
      </c>
      <c r="X416" s="7">
        <v>0.8</v>
      </c>
      <c r="Y416" s="7">
        <v>0.5</v>
      </c>
      <c r="Z416" s="7">
        <v>0.2</v>
      </c>
      <c r="AA416" s="7">
        <v>0.2</v>
      </c>
      <c r="AB416" s="7">
        <v>0.3</v>
      </c>
      <c r="AC416" s="7">
        <v>1.3</v>
      </c>
      <c r="AD416" s="7">
        <v>2.5</v>
      </c>
    </row>
    <row r="417" spans="1:30" x14ac:dyDescent="0.25">
      <c r="A417" s="7">
        <v>4200</v>
      </c>
      <c r="B417" s="7" t="s">
        <v>482</v>
      </c>
      <c r="C417" s="7">
        <v>32</v>
      </c>
      <c r="D417" s="7" t="s">
        <v>45</v>
      </c>
      <c r="E417" s="7" t="s">
        <v>58</v>
      </c>
      <c r="F417" s="7">
        <v>7</v>
      </c>
      <c r="G417" s="7">
        <v>0</v>
      </c>
      <c r="H417" s="7">
        <v>6.7</v>
      </c>
      <c r="I417" s="7">
        <v>0.7</v>
      </c>
      <c r="J417" s="7">
        <v>3</v>
      </c>
      <c r="K417" s="6">
        <f>IFERROR(database_24_25!$I417/database_24_25!$J417,0)</f>
        <v>0.23333333333333331</v>
      </c>
      <c r="L417" s="7">
        <v>0.1</v>
      </c>
      <c r="M417" s="7">
        <v>1.7</v>
      </c>
      <c r="N417" s="6">
        <f>IFERROR(database_24_25!$L417/database_24_25!$M417,0)</f>
        <v>5.8823529411764712E-2</v>
      </c>
      <c r="O417" s="7">
        <v>0.6</v>
      </c>
      <c r="P417" s="5">
        <f>database_24_25!$Q417/10</f>
        <v>1.3</v>
      </c>
      <c r="Q417" s="7">
        <v>13</v>
      </c>
      <c r="R417" s="6">
        <f>IFERROR(database_24_25!$O417/database_24_25!$P417,0)</f>
        <v>0.46153846153846151</v>
      </c>
      <c r="S417" s="7">
        <v>0.9</v>
      </c>
      <c r="T417" s="7">
        <v>0.9</v>
      </c>
      <c r="U417" s="6">
        <f>IFERROR(database_24_25!$S417/database_24_25!$T417,0)</f>
        <v>1</v>
      </c>
      <c r="V417" s="7">
        <v>0</v>
      </c>
      <c r="W417" s="7">
        <v>0.7</v>
      </c>
      <c r="X417" s="7">
        <v>0.7</v>
      </c>
      <c r="Y417" s="7">
        <v>0.7</v>
      </c>
      <c r="Z417" s="7">
        <v>0.3</v>
      </c>
      <c r="AA417" s="7">
        <v>0</v>
      </c>
      <c r="AB417" s="7">
        <v>0.4</v>
      </c>
      <c r="AC417" s="7">
        <v>0.3</v>
      </c>
      <c r="AD417" s="7">
        <v>2.4</v>
      </c>
    </row>
    <row r="418" spans="1:30" x14ac:dyDescent="0.25">
      <c r="A418" s="7">
        <v>4190</v>
      </c>
      <c r="B418" s="7" t="s">
        <v>481</v>
      </c>
      <c r="C418" s="7">
        <v>23</v>
      </c>
      <c r="D418" s="7" t="s">
        <v>55</v>
      </c>
      <c r="E418" s="7" t="s">
        <v>32</v>
      </c>
      <c r="F418" s="7">
        <v>20</v>
      </c>
      <c r="G418" s="7">
        <v>0</v>
      </c>
      <c r="H418" s="7">
        <v>6.4</v>
      </c>
      <c r="I418" s="7">
        <v>0.9</v>
      </c>
      <c r="J418" s="7">
        <v>2.1</v>
      </c>
      <c r="K418" s="6">
        <f>IFERROR(database_24_25!$I418/database_24_25!$J418,0)</f>
        <v>0.42857142857142855</v>
      </c>
      <c r="L418" s="7">
        <v>0.5</v>
      </c>
      <c r="M418" s="7">
        <v>1.3</v>
      </c>
      <c r="N418" s="6">
        <f>IFERROR(database_24_25!$L418/database_24_25!$M418,0)</f>
        <v>0.38461538461538458</v>
      </c>
      <c r="O418" s="7">
        <v>0.4</v>
      </c>
      <c r="P418" s="5">
        <f>database_24_25!$Q418/10</f>
        <v>0.9</v>
      </c>
      <c r="Q418" s="7">
        <v>9</v>
      </c>
      <c r="R418" s="6">
        <f>IFERROR(database_24_25!$O418/database_24_25!$P418,0)</f>
        <v>0.44444444444444448</v>
      </c>
      <c r="S418" s="7">
        <v>0.2</v>
      </c>
      <c r="T418" s="7">
        <v>0.2</v>
      </c>
      <c r="U418" s="6">
        <f>IFERROR(database_24_25!$S418/database_24_25!$T418,0)</f>
        <v>1</v>
      </c>
      <c r="V418" s="7">
        <v>0.1</v>
      </c>
      <c r="W418" s="7">
        <v>0.6</v>
      </c>
      <c r="X418" s="7">
        <v>0.7</v>
      </c>
      <c r="Y418" s="7">
        <v>0.8</v>
      </c>
      <c r="Z418" s="7">
        <v>0.3</v>
      </c>
      <c r="AA418" s="7">
        <v>0.1</v>
      </c>
      <c r="AB418" s="7">
        <v>0.4</v>
      </c>
      <c r="AC418" s="7">
        <v>0.6</v>
      </c>
      <c r="AD418" s="7">
        <v>2.4</v>
      </c>
    </row>
    <row r="419" spans="1:30" x14ac:dyDescent="0.25">
      <c r="A419" s="5">
        <v>4170</v>
      </c>
      <c r="B419" s="5" t="s">
        <v>479</v>
      </c>
      <c r="C419" s="5">
        <v>25</v>
      </c>
      <c r="D419" s="5" t="s">
        <v>81</v>
      </c>
      <c r="E419" s="5" t="s">
        <v>35</v>
      </c>
      <c r="F419" s="5">
        <v>16</v>
      </c>
      <c r="G419" s="5">
        <v>0</v>
      </c>
      <c r="H419" s="5">
        <v>10.4</v>
      </c>
      <c r="I419" s="5">
        <v>0.9</v>
      </c>
      <c r="J419" s="5">
        <v>2</v>
      </c>
      <c r="K419" s="6">
        <f>IFERROR(database_24_25!$I419/database_24_25!$J419,0)</f>
        <v>0.45</v>
      </c>
      <c r="L419" s="5">
        <v>0</v>
      </c>
      <c r="M419" s="5">
        <v>0</v>
      </c>
      <c r="N419" s="6">
        <f>IFERROR(database_24_25!$L419/database_24_25!$M419,0)</f>
        <v>0</v>
      </c>
      <c r="O419" s="5">
        <v>0.9</v>
      </c>
      <c r="P419" s="5">
        <f>database_24_25!$Q419/10</f>
        <v>2</v>
      </c>
      <c r="Q419" s="5">
        <v>20</v>
      </c>
      <c r="R419" s="6">
        <f>IFERROR(database_24_25!$O419/database_24_25!$P419,0)</f>
        <v>0.45</v>
      </c>
      <c r="S419" s="5">
        <v>0.5</v>
      </c>
      <c r="T419" s="5">
        <v>1.3</v>
      </c>
      <c r="U419" s="6">
        <f>IFERROR(database_24_25!$S419/database_24_25!$T419,0)</f>
        <v>0.38461538461538458</v>
      </c>
      <c r="V419" s="5">
        <v>1.4</v>
      </c>
      <c r="W419" s="5">
        <v>1.4</v>
      </c>
      <c r="X419" s="5">
        <v>2.8</v>
      </c>
      <c r="Y419" s="5">
        <v>0.6</v>
      </c>
      <c r="Z419" s="5">
        <v>0.4</v>
      </c>
      <c r="AA419" s="5">
        <v>0.4</v>
      </c>
      <c r="AB419" s="5">
        <v>0.6</v>
      </c>
      <c r="AC419" s="5">
        <v>1.7</v>
      </c>
      <c r="AD419" s="5">
        <v>2.4</v>
      </c>
    </row>
    <row r="420" spans="1:30" x14ac:dyDescent="0.25">
      <c r="A420" s="5">
        <v>4180</v>
      </c>
      <c r="B420" s="5" t="s">
        <v>480</v>
      </c>
      <c r="C420" s="5">
        <v>33</v>
      </c>
      <c r="D420" s="5" t="s">
        <v>43</v>
      </c>
      <c r="E420" s="5" t="s">
        <v>27</v>
      </c>
      <c r="F420" s="5">
        <v>23</v>
      </c>
      <c r="G420" s="5">
        <v>3</v>
      </c>
      <c r="H420" s="5">
        <v>19.100000000000001</v>
      </c>
      <c r="I420" s="5">
        <v>0.9</v>
      </c>
      <c r="J420" s="5">
        <v>2.4</v>
      </c>
      <c r="K420" s="6">
        <f>IFERROR(database_24_25!$I420/database_24_25!$J420,0)</f>
        <v>0.375</v>
      </c>
      <c r="L420" s="5">
        <v>0.3</v>
      </c>
      <c r="M420" s="5">
        <v>1.1000000000000001</v>
      </c>
      <c r="N420" s="6">
        <f>IFERROR(database_24_25!$L420/database_24_25!$M420,0)</f>
        <v>0.27272727272727271</v>
      </c>
      <c r="O420" s="5">
        <v>0.6</v>
      </c>
      <c r="P420" s="5">
        <f>database_24_25!$Q420/10</f>
        <v>1.3</v>
      </c>
      <c r="Q420" s="5">
        <v>13</v>
      </c>
      <c r="R420" s="6">
        <f>IFERROR(database_24_25!$O420/database_24_25!$P420,0)</f>
        <v>0.46153846153846151</v>
      </c>
      <c r="S420" s="5">
        <v>0.4</v>
      </c>
      <c r="T420" s="5">
        <v>0.5</v>
      </c>
      <c r="U420" s="6">
        <f>IFERROR(database_24_25!$S420/database_24_25!$T420,0)</f>
        <v>0.8</v>
      </c>
      <c r="V420" s="5">
        <v>0.7</v>
      </c>
      <c r="W420" s="5">
        <v>2.5</v>
      </c>
      <c r="X420" s="5">
        <v>3.2</v>
      </c>
      <c r="Y420" s="5">
        <v>0.9</v>
      </c>
      <c r="Z420" s="5">
        <v>0.3</v>
      </c>
      <c r="AA420" s="5">
        <v>0.5</v>
      </c>
      <c r="AB420" s="5">
        <v>0.7</v>
      </c>
      <c r="AC420" s="5">
        <v>1.9</v>
      </c>
      <c r="AD420" s="5">
        <v>2.4</v>
      </c>
    </row>
    <row r="421" spans="1:30" x14ac:dyDescent="0.25">
      <c r="A421" s="7">
        <v>4210</v>
      </c>
      <c r="B421" s="7" t="s">
        <v>483</v>
      </c>
      <c r="C421" s="7">
        <v>22</v>
      </c>
      <c r="D421" s="7" t="s">
        <v>43</v>
      </c>
      <c r="E421" s="7" t="s">
        <v>27</v>
      </c>
      <c r="F421" s="7">
        <v>24</v>
      </c>
      <c r="G421" s="7">
        <v>0</v>
      </c>
      <c r="H421" s="7">
        <v>7.3</v>
      </c>
      <c r="I421" s="7">
        <v>0.8</v>
      </c>
      <c r="J421" s="7">
        <v>2.2000000000000002</v>
      </c>
      <c r="K421" s="6">
        <f>IFERROR(database_24_25!$I421/database_24_25!$J421,0)</f>
        <v>0.36363636363636365</v>
      </c>
      <c r="L421" s="7">
        <v>0.2</v>
      </c>
      <c r="M421" s="7">
        <v>0.7</v>
      </c>
      <c r="N421" s="6">
        <f>IFERROR(database_24_25!$L421/database_24_25!$M421,0)</f>
        <v>0.28571428571428575</v>
      </c>
      <c r="O421" s="7">
        <v>0.7</v>
      </c>
      <c r="P421" s="5">
        <f>database_24_25!$Q421/10</f>
        <v>1.5</v>
      </c>
      <c r="Q421" s="7">
        <v>15</v>
      </c>
      <c r="R421" s="6">
        <f>IFERROR(database_24_25!$O421/database_24_25!$P421,0)</f>
        <v>0.46666666666666662</v>
      </c>
      <c r="S421" s="7">
        <v>0.5</v>
      </c>
      <c r="T421" s="7">
        <v>0.9</v>
      </c>
      <c r="U421" s="6">
        <f>IFERROR(database_24_25!$S421/database_24_25!$T421,0)</f>
        <v>0.55555555555555558</v>
      </c>
      <c r="V421" s="7">
        <v>0.8</v>
      </c>
      <c r="W421" s="7">
        <v>1.1000000000000001</v>
      </c>
      <c r="X421" s="7">
        <v>1.9</v>
      </c>
      <c r="Y421" s="7">
        <v>0.5</v>
      </c>
      <c r="Z421" s="7">
        <v>0.3</v>
      </c>
      <c r="AA421" s="7">
        <v>0.1</v>
      </c>
      <c r="AB421" s="7">
        <v>0.2</v>
      </c>
      <c r="AC421" s="7">
        <v>0.4</v>
      </c>
      <c r="AD421" s="7">
        <v>2.4</v>
      </c>
    </row>
    <row r="422" spans="1:30" x14ac:dyDescent="0.25">
      <c r="A422" s="5">
        <v>4160</v>
      </c>
      <c r="B422" s="5" t="s">
        <v>478</v>
      </c>
      <c r="C422" s="5">
        <v>27</v>
      </c>
      <c r="D422" s="5" t="s">
        <v>90</v>
      </c>
      <c r="E422" s="5" t="s">
        <v>58</v>
      </c>
      <c r="F422" s="5">
        <v>13</v>
      </c>
      <c r="G422" s="5">
        <v>0</v>
      </c>
      <c r="H422" s="5">
        <v>4.2</v>
      </c>
      <c r="I422" s="5">
        <v>0.8</v>
      </c>
      <c r="J422" s="5">
        <v>1.5</v>
      </c>
      <c r="K422" s="6">
        <f>IFERROR(database_24_25!$I422/database_24_25!$J422,0)</f>
        <v>0.53333333333333333</v>
      </c>
      <c r="L422" s="5">
        <v>0.4</v>
      </c>
      <c r="M422" s="5">
        <v>0.9</v>
      </c>
      <c r="N422" s="6">
        <f>IFERROR(database_24_25!$L422/database_24_25!$M422,0)</f>
        <v>0.44444444444444448</v>
      </c>
      <c r="O422" s="5">
        <v>0.4</v>
      </c>
      <c r="P422" s="5">
        <f>database_24_25!$Q422/10</f>
        <v>0.6</v>
      </c>
      <c r="Q422" s="5">
        <v>6</v>
      </c>
      <c r="R422" s="6">
        <f>IFERROR(database_24_25!$O422/database_24_25!$P422,0)</f>
        <v>0.66666666666666674</v>
      </c>
      <c r="S422" s="5">
        <v>0.5</v>
      </c>
      <c r="T422" s="5">
        <v>0.6</v>
      </c>
      <c r="U422" s="6">
        <f>IFERROR(database_24_25!$S422/database_24_25!$T422,0)</f>
        <v>0.83333333333333337</v>
      </c>
      <c r="V422" s="5">
        <v>0.3</v>
      </c>
      <c r="W422" s="5">
        <v>0.9</v>
      </c>
      <c r="X422" s="5">
        <v>1.2</v>
      </c>
      <c r="Y422" s="5">
        <v>0.4</v>
      </c>
      <c r="Z422" s="5">
        <v>0</v>
      </c>
      <c r="AA422" s="5">
        <v>0</v>
      </c>
      <c r="AB422" s="5">
        <v>0.1</v>
      </c>
      <c r="AC422" s="5">
        <v>0.4</v>
      </c>
      <c r="AD422" s="5">
        <v>2.4</v>
      </c>
    </row>
    <row r="423" spans="1:30" x14ac:dyDescent="0.25">
      <c r="A423" s="5">
        <v>4230</v>
      </c>
      <c r="B423" s="5" t="s">
        <v>485</v>
      </c>
      <c r="C423" s="5">
        <v>32</v>
      </c>
      <c r="D423" s="5" t="s">
        <v>94</v>
      </c>
      <c r="E423" s="5" t="s">
        <v>27</v>
      </c>
      <c r="F423" s="5">
        <v>23</v>
      </c>
      <c r="G423" s="5">
        <v>0</v>
      </c>
      <c r="H423" s="5">
        <v>6.7</v>
      </c>
      <c r="I423" s="5">
        <v>0.8</v>
      </c>
      <c r="J423" s="5">
        <v>1.6</v>
      </c>
      <c r="K423" s="6">
        <f>IFERROR(database_24_25!$I423/database_24_25!$J423,0)</f>
        <v>0.5</v>
      </c>
      <c r="L423" s="5">
        <v>0.2</v>
      </c>
      <c r="M423" s="5">
        <v>0.6</v>
      </c>
      <c r="N423" s="6">
        <f>IFERROR(database_24_25!$L423/database_24_25!$M423,0)</f>
        <v>0.33333333333333337</v>
      </c>
      <c r="O423" s="5">
        <v>0.6</v>
      </c>
      <c r="P423" s="5">
        <f>database_24_25!$Q423/10</f>
        <v>1</v>
      </c>
      <c r="Q423" s="5">
        <v>10</v>
      </c>
      <c r="R423" s="6">
        <f>IFERROR(database_24_25!$O423/database_24_25!$P423,0)</f>
        <v>0.6</v>
      </c>
      <c r="S423" s="5">
        <v>0.4</v>
      </c>
      <c r="T423" s="5">
        <v>0.8</v>
      </c>
      <c r="U423" s="6">
        <f>IFERROR(database_24_25!$S423/database_24_25!$T423,0)</f>
        <v>0.5</v>
      </c>
      <c r="V423" s="5">
        <v>0.3</v>
      </c>
      <c r="W423" s="5">
        <v>0.9</v>
      </c>
      <c r="X423" s="5">
        <v>1.2</v>
      </c>
      <c r="Y423" s="5">
        <v>0.3</v>
      </c>
      <c r="Z423" s="5">
        <v>0.2</v>
      </c>
      <c r="AA423" s="5">
        <v>0</v>
      </c>
      <c r="AB423" s="5">
        <v>0.2</v>
      </c>
      <c r="AC423" s="5">
        <v>0.5</v>
      </c>
      <c r="AD423" s="5">
        <v>2.2999999999999998</v>
      </c>
    </row>
    <row r="424" spans="1:30" x14ac:dyDescent="0.25">
      <c r="A424" s="5">
        <v>4240</v>
      </c>
      <c r="B424" s="5" t="s">
        <v>486</v>
      </c>
      <c r="C424" s="5">
        <v>24</v>
      </c>
      <c r="D424" s="5" t="s">
        <v>53</v>
      </c>
      <c r="E424" s="5" t="s">
        <v>58</v>
      </c>
      <c r="F424" s="5">
        <v>4</v>
      </c>
      <c r="G424" s="5">
        <v>0</v>
      </c>
      <c r="H424" s="5">
        <v>4.3</v>
      </c>
      <c r="I424" s="5">
        <v>1</v>
      </c>
      <c r="J424" s="5">
        <v>2</v>
      </c>
      <c r="K424" s="6">
        <f>IFERROR(database_24_25!$I424/database_24_25!$J424,0)</f>
        <v>0.5</v>
      </c>
      <c r="L424" s="5">
        <v>0</v>
      </c>
      <c r="M424" s="5">
        <v>0.8</v>
      </c>
      <c r="N424" s="6">
        <f>IFERROR(database_24_25!$L424/database_24_25!$M424,0)</f>
        <v>0</v>
      </c>
      <c r="O424" s="5">
        <v>1</v>
      </c>
      <c r="P424" s="5">
        <f>database_24_25!$Q424/10</f>
        <v>1.3</v>
      </c>
      <c r="Q424" s="5">
        <v>13</v>
      </c>
      <c r="R424" s="6">
        <f>IFERROR(database_24_25!$O424/database_24_25!$P424,0)</f>
        <v>0.76923076923076916</v>
      </c>
      <c r="S424" s="5">
        <v>0.3</v>
      </c>
      <c r="T424" s="5">
        <v>0.3</v>
      </c>
      <c r="U424" s="6">
        <f>IFERROR(database_24_25!$S424/database_24_25!$T424,0)</f>
        <v>1</v>
      </c>
      <c r="V424" s="5">
        <v>0.8</v>
      </c>
      <c r="W424" s="5">
        <v>0.3</v>
      </c>
      <c r="X424" s="5">
        <v>1</v>
      </c>
      <c r="Y424" s="5">
        <v>0.3</v>
      </c>
      <c r="Z424" s="5">
        <v>0</v>
      </c>
      <c r="AA424" s="5">
        <v>0</v>
      </c>
      <c r="AB424" s="5">
        <v>1</v>
      </c>
      <c r="AC424" s="5">
        <v>0</v>
      </c>
      <c r="AD424" s="5">
        <v>2.2999999999999998</v>
      </c>
    </row>
    <row r="425" spans="1:30" x14ac:dyDescent="0.25">
      <c r="A425" s="7">
        <v>4260</v>
      </c>
      <c r="B425" s="7" t="s">
        <v>488</v>
      </c>
      <c r="C425" s="7">
        <v>25</v>
      </c>
      <c r="D425" s="7" t="s">
        <v>110</v>
      </c>
      <c r="E425" s="7" t="s">
        <v>58</v>
      </c>
      <c r="F425" s="7">
        <v>3</v>
      </c>
      <c r="G425" s="7">
        <v>0</v>
      </c>
      <c r="H425" s="7">
        <v>3.3</v>
      </c>
      <c r="I425" s="7">
        <v>1</v>
      </c>
      <c r="J425" s="7">
        <v>1.3</v>
      </c>
      <c r="K425" s="6">
        <f>IFERROR(database_24_25!$I425/database_24_25!$J425,0)</f>
        <v>0.76923076923076916</v>
      </c>
      <c r="L425" s="7">
        <v>0.3</v>
      </c>
      <c r="M425" s="7">
        <v>0.7</v>
      </c>
      <c r="N425" s="6">
        <f>IFERROR(database_24_25!$L425/database_24_25!$M425,0)</f>
        <v>0.4285714285714286</v>
      </c>
      <c r="O425" s="7">
        <v>0.7</v>
      </c>
      <c r="P425" s="5">
        <f>database_24_25!$Q425/10</f>
        <v>0.7</v>
      </c>
      <c r="Q425" s="7">
        <v>7</v>
      </c>
      <c r="R425" s="6">
        <f>IFERROR(database_24_25!$O425/database_24_25!$P425,0)</f>
        <v>1</v>
      </c>
      <c r="S425" s="7">
        <v>0</v>
      </c>
      <c r="T425" s="7">
        <v>0</v>
      </c>
      <c r="U425" s="6">
        <f>IFERROR(database_24_25!$S425/database_24_25!$T425,0)</f>
        <v>0</v>
      </c>
      <c r="V425" s="7">
        <v>0</v>
      </c>
      <c r="W425" s="7">
        <v>1</v>
      </c>
      <c r="X425" s="7">
        <v>1</v>
      </c>
      <c r="Y425" s="7">
        <v>0</v>
      </c>
      <c r="Z425" s="7">
        <v>0.3</v>
      </c>
      <c r="AA425" s="7">
        <v>0</v>
      </c>
      <c r="AB425" s="7">
        <v>0</v>
      </c>
      <c r="AC425" s="7">
        <v>0</v>
      </c>
      <c r="AD425" s="7">
        <v>2.2999999999999998</v>
      </c>
    </row>
    <row r="426" spans="1:30" x14ac:dyDescent="0.25">
      <c r="A426" s="5">
        <v>4220</v>
      </c>
      <c r="B426" s="5" t="s">
        <v>484</v>
      </c>
      <c r="C426" s="5">
        <v>27</v>
      </c>
      <c r="D426" s="5" t="s">
        <v>34</v>
      </c>
      <c r="E426" s="5" t="s">
        <v>27</v>
      </c>
      <c r="F426" s="5">
        <v>4</v>
      </c>
      <c r="G426" s="5">
        <v>0</v>
      </c>
      <c r="H426" s="5">
        <v>8.5</v>
      </c>
      <c r="I426" s="5">
        <v>1</v>
      </c>
      <c r="J426" s="5">
        <v>1.8</v>
      </c>
      <c r="K426" s="6">
        <f>IFERROR(database_24_25!$I426/database_24_25!$J426,0)</f>
        <v>0.55555555555555558</v>
      </c>
      <c r="L426" s="5">
        <v>0.3</v>
      </c>
      <c r="M426" s="5">
        <v>0.5</v>
      </c>
      <c r="N426" s="6">
        <f>IFERROR(database_24_25!$L426/database_24_25!$M426,0)</f>
        <v>0.6</v>
      </c>
      <c r="O426" s="5">
        <v>0.8</v>
      </c>
      <c r="P426" s="5">
        <f>database_24_25!$Q426/10</f>
        <v>1.3</v>
      </c>
      <c r="Q426" s="5">
        <v>13</v>
      </c>
      <c r="R426" s="6">
        <f>IFERROR(database_24_25!$O426/database_24_25!$P426,0)</f>
        <v>0.61538461538461542</v>
      </c>
      <c r="S426" s="5">
        <v>0</v>
      </c>
      <c r="T426" s="5">
        <v>0</v>
      </c>
      <c r="U426" s="6">
        <f>IFERROR(database_24_25!$S426/database_24_25!$T426,0)</f>
        <v>0</v>
      </c>
      <c r="V426" s="5">
        <v>0.8</v>
      </c>
      <c r="W426" s="5">
        <v>1.3</v>
      </c>
      <c r="X426" s="5">
        <v>2</v>
      </c>
      <c r="Y426" s="5">
        <v>0</v>
      </c>
      <c r="Z426" s="5">
        <v>0</v>
      </c>
      <c r="AA426" s="5">
        <v>0.3</v>
      </c>
      <c r="AB426" s="5">
        <v>0.5</v>
      </c>
      <c r="AC426" s="5">
        <v>1</v>
      </c>
      <c r="AD426" s="5">
        <v>2.2999999999999998</v>
      </c>
    </row>
    <row r="427" spans="1:30" x14ac:dyDescent="0.25">
      <c r="A427" s="7">
        <v>4250</v>
      </c>
      <c r="B427" s="7" t="s">
        <v>487</v>
      </c>
      <c r="C427" s="7">
        <v>33</v>
      </c>
      <c r="D427" s="7" t="s">
        <v>79</v>
      </c>
      <c r="E427" s="7" t="s">
        <v>27</v>
      </c>
      <c r="F427" s="7">
        <v>14</v>
      </c>
      <c r="G427" s="7">
        <v>0</v>
      </c>
      <c r="H427" s="7">
        <v>7.1</v>
      </c>
      <c r="I427" s="7">
        <v>1</v>
      </c>
      <c r="J427" s="7">
        <v>2.1</v>
      </c>
      <c r="K427" s="6">
        <f>IFERROR(database_24_25!$I427/database_24_25!$J427,0)</f>
        <v>0.47619047619047616</v>
      </c>
      <c r="L427" s="7">
        <v>0</v>
      </c>
      <c r="M427" s="7">
        <v>0.1</v>
      </c>
      <c r="N427" s="6">
        <f>IFERROR(database_24_25!$L427/database_24_25!$M427,0)</f>
        <v>0</v>
      </c>
      <c r="O427" s="7">
        <v>1</v>
      </c>
      <c r="P427" s="5">
        <f>database_24_25!$Q427/10</f>
        <v>2</v>
      </c>
      <c r="Q427" s="7">
        <v>20</v>
      </c>
      <c r="R427" s="6">
        <f>IFERROR(database_24_25!$O427/database_24_25!$P427,0)</f>
        <v>0.5</v>
      </c>
      <c r="S427" s="7">
        <v>0.3</v>
      </c>
      <c r="T427" s="7">
        <v>1</v>
      </c>
      <c r="U427" s="6">
        <f>IFERROR(database_24_25!$S427/database_24_25!$T427,0)</f>
        <v>0.3</v>
      </c>
      <c r="V427" s="7">
        <v>0.6</v>
      </c>
      <c r="W427" s="7">
        <v>1.9</v>
      </c>
      <c r="X427" s="7">
        <v>2.6</v>
      </c>
      <c r="Y427" s="7">
        <v>0.3</v>
      </c>
      <c r="Z427" s="7">
        <v>0</v>
      </c>
      <c r="AA427" s="7">
        <v>0.3</v>
      </c>
      <c r="AB427" s="7">
        <v>0.4</v>
      </c>
      <c r="AC427" s="7">
        <v>0.7</v>
      </c>
      <c r="AD427" s="7">
        <v>2.2999999999999998</v>
      </c>
    </row>
    <row r="428" spans="1:30" x14ac:dyDescent="0.25">
      <c r="A428" s="7">
        <v>4270</v>
      </c>
      <c r="B428" s="7" t="s">
        <v>489</v>
      </c>
      <c r="C428" s="7">
        <v>24</v>
      </c>
      <c r="D428" s="7" t="s">
        <v>75</v>
      </c>
      <c r="E428" s="7" t="s">
        <v>35</v>
      </c>
      <c r="F428" s="7">
        <v>22</v>
      </c>
      <c r="G428" s="7">
        <v>0</v>
      </c>
      <c r="H428" s="7">
        <v>8.1</v>
      </c>
      <c r="I428" s="7">
        <v>0.9</v>
      </c>
      <c r="J428" s="7">
        <v>1.3</v>
      </c>
      <c r="K428" s="6">
        <f>IFERROR(database_24_25!$I428/database_24_25!$J428,0)</f>
        <v>0.69230769230769229</v>
      </c>
      <c r="L428" s="7">
        <v>0</v>
      </c>
      <c r="M428" s="7">
        <v>0.1</v>
      </c>
      <c r="N428" s="6">
        <f>IFERROR(database_24_25!$L428/database_24_25!$M428,0)</f>
        <v>0</v>
      </c>
      <c r="O428" s="7">
        <v>0.9</v>
      </c>
      <c r="P428" s="5">
        <f>database_24_25!$Q428/10</f>
        <v>1.2</v>
      </c>
      <c r="Q428" s="7">
        <v>12</v>
      </c>
      <c r="R428" s="6">
        <f>IFERROR(database_24_25!$O428/database_24_25!$P428,0)</f>
        <v>0.75</v>
      </c>
      <c r="S428" s="7">
        <v>0.4</v>
      </c>
      <c r="T428" s="7">
        <v>0.5</v>
      </c>
      <c r="U428" s="6">
        <f>IFERROR(database_24_25!$S428/database_24_25!$T428,0)</f>
        <v>0.8</v>
      </c>
      <c r="V428" s="7">
        <v>0.6</v>
      </c>
      <c r="W428" s="7">
        <v>1.2</v>
      </c>
      <c r="X428" s="7">
        <v>1.9</v>
      </c>
      <c r="Y428" s="7">
        <v>0.5</v>
      </c>
      <c r="Z428" s="7">
        <v>0.3</v>
      </c>
      <c r="AA428" s="7">
        <v>0.5</v>
      </c>
      <c r="AB428" s="7">
        <v>0.4</v>
      </c>
      <c r="AC428" s="7">
        <v>1</v>
      </c>
      <c r="AD428" s="7">
        <v>2.2000000000000002</v>
      </c>
    </row>
    <row r="429" spans="1:30" x14ac:dyDescent="0.25">
      <c r="A429" s="5">
        <v>4290</v>
      </c>
      <c r="B429" s="5" t="s">
        <v>491</v>
      </c>
      <c r="C429" s="5">
        <v>28</v>
      </c>
      <c r="D429" s="5" t="s">
        <v>47</v>
      </c>
      <c r="E429" s="5" t="s">
        <v>32</v>
      </c>
      <c r="F429" s="5">
        <v>23</v>
      </c>
      <c r="G429" s="5">
        <v>0</v>
      </c>
      <c r="H429" s="5">
        <v>7.2</v>
      </c>
      <c r="I429" s="5">
        <v>0.7</v>
      </c>
      <c r="J429" s="5">
        <v>1.7</v>
      </c>
      <c r="K429" s="6">
        <f>IFERROR(database_24_25!$I429/database_24_25!$J429,0)</f>
        <v>0.41176470588235292</v>
      </c>
      <c r="L429" s="5">
        <v>0.4</v>
      </c>
      <c r="M429" s="5">
        <v>1</v>
      </c>
      <c r="N429" s="6">
        <f>IFERROR(database_24_25!$L429/database_24_25!$M429,0)</f>
        <v>0.4</v>
      </c>
      <c r="O429" s="5">
        <v>0.3</v>
      </c>
      <c r="P429" s="5">
        <f>database_24_25!$Q429/10</f>
        <v>0.7</v>
      </c>
      <c r="Q429" s="5">
        <v>7</v>
      </c>
      <c r="R429" s="6">
        <f>IFERROR(database_24_25!$O429/database_24_25!$P429,0)</f>
        <v>0.4285714285714286</v>
      </c>
      <c r="S429" s="5">
        <v>0.4</v>
      </c>
      <c r="T429" s="5">
        <v>0.6</v>
      </c>
      <c r="U429" s="6">
        <f>IFERROR(database_24_25!$S429/database_24_25!$T429,0)</f>
        <v>0.66666666666666674</v>
      </c>
      <c r="V429" s="5">
        <v>0.1</v>
      </c>
      <c r="W429" s="5">
        <v>0.7</v>
      </c>
      <c r="X429" s="5">
        <v>0.8</v>
      </c>
      <c r="Y429" s="5">
        <v>0.9</v>
      </c>
      <c r="Z429" s="5">
        <v>0.4</v>
      </c>
      <c r="AA429" s="5">
        <v>0</v>
      </c>
      <c r="AB429" s="5">
        <v>0.4</v>
      </c>
      <c r="AC429" s="5">
        <v>0.5</v>
      </c>
      <c r="AD429" s="5">
        <v>2.1</v>
      </c>
    </row>
    <row r="430" spans="1:30" x14ac:dyDescent="0.25">
      <c r="A430" s="5">
        <v>4280</v>
      </c>
      <c r="B430" s="5" t="s">
        <v>490</v>
      </c>
      <c r="C430" s="5">
        <v>24</v>
      </c>
      <c r="D430" s="5" t="s">
        <v>51</v>
      </c>
      <c r="E430" s="5" t="s">
        <v>35</v>
      </c>
      <c r="F430" s="5">
        <v>21</v>
      </c>
      <c r="G430" s="5">
        <v>0</v>
      </c>
      <c r="H430" s="5">
        <v>9.6</v>
      </c>
      <c r="I430" s="5">
        <v>1</v>
      </c>
      <c r="J430" s="5">
        <v>1.7</v>
      </c>
      <c r="K430" s="6">
        <f>IFERROR(database_24_25!$I430/database_24_25!$J430,0)</f>
        <v>0.58823529411764708</v>
      </c>
      <c r="L430" s="5">
        <v>0</v>
      </c>
      <c r="M430" s="5">
        <v>0.1</v>
      </c>
      <c r="N430" s="6">
        <f>IFERROR(database_24_25!$L430/database_24_25!$M430,0)</f>
        <v>0</v>
      </c>
      <c r="O430" s="5">
        <v>1</v>
      </c>
      <c r="P430" s="5">
        <f>database_24_25!$Q430/10</f>
        <v>1.6</v>
      </c>
      <c r="Q430" s="5">
        <v>16</v>
      </c>
      <c r="R430" s="6">
        <f>IFERROR(database_24_25!$O430/database_24_25!$P430,0)</f>
        <v>0.625</v>
      </c>
      <c r="S430" s="5">
        <v>0.1</v>
      </c>
      <c r="T430" s="5">
        <v>0.2</v>
      </c>
      <c r="U430" s="6">
        <f>IFERROR(database_24_25!$S430/database_24_25!$T430,0)</f>
        <v>0.5</v>
      </c>
      <c r="V430" s="5">
        <v>1.1000000000000001</v>
      </c>
      <c r="W430" s="5">
        <v>1.4</v>
      </c>
      <c r="X430" s="5">
        <v>2.5</v>
      </c>
      <c r="Y430" s="5">
        <v>0.3</v>
      </c>
      <c r="Z430" s="5">
        <v>0.3</v>
      </c>
      <c r="AA430" s="5">
        <v>0.4</v>
      </c>
      <c r="AB430" s="5">
        <v>0.3</v>
      </c>
      <c r="AC430" s="5">
        <v>1.2</v>
      </c>
      <c r="AD430" s="5">
        <v>2.1</v>
      </c>
    </row>
    <row r="431" spans="1:30" x14ac:dyDescent="0.25">
      <c r="A431" s="7">
        <v>4300</v>
      </c>
      <c r="B431" s="7" t="s">
        <v>492</v>
      </c>
      <c r="C431" s="7">
        <v>22</v>
      </c>
      <c r="D431" s="7" t="s">
        <v>79</v>
      </c>
      <c r="E431" s="7" t="s">
        <v>58</v>
      </c>
      <c r="F431" s="7">
        <v>20</v>
      </c>
      <c r="G431" s="7">
        <v>1</v>
      </c>
      <c r="H431" s="7">
        <v>7.5</v>
      </c>
      <c r="I431" s="7">
        <v>0.9</v>
      </c>
      <c r="J431" s="7">
        <v>1.9</v>
      </c>
      <c r="K431" s="6">
        <f>IFERROR(database_24_25!$I431/database_24_25!$J431,0)</f>
        <v>0.47368421052631582</v>
      </c>
      <c r="L431" s="7">
        <v>0.2</v>
      </c>
      <c r="M431" s="7">
        <v>0.7</v>
      </c>
      <c r="N431" s="6">
        <f>IFERROR(database_24_25!$L431/database_24_25!$M431,0)</f>
        <v>0.28571428571428575</v>
      </c>
      <c r="O431" s="7">
        <v>0.7</v>
      </c>
      <c r="P431" s="5">
        <f>database_24_25!$Q431/10</f>
        <v>1.2</v>
      </c>
      <c r="Q431" s="7">
        <v>12</v>
      </c>
      <c r="R431" s="6">
        <f>IFERROR(database_24_25!$O431/database_24_25!$P431,0)</f>
        <v>0.58333333333333337</v>
      </c>
      <c r="S431" s="7">
        <v>0.2</v>
      </c>
      <c r="T431" s="7">
        <v>0.4</v>
      </c>
      <c r="U431" s="6">
        <f>IFERROR(database_24_25!$S431/database_24_25!$T431,0)</f>
        <v>0.5</v>
      </c>
      <c r="V431" s="7">
        <v>0.7</v>
      </c>
      <c r="W431" s="7">
        <v>1.1000000000000001</v>
      </c>
      <c r="X431" s="7">
        <v>1.7</v>
      </c>
      <c r="Y431" s="7">
        <v>0.7</v>
      </c>
      <c r="Z431" s="7">
        <v>0.3</v>
      </c>
      <c r="AA431" s="7">
        <v>0</v>
      </c>
      <c r="AB431" s="7">
        <v>0.5</v>
      </c>
      <c r="AC431" s="7">
        <v>1.2</v>
      </c>
      <c r="AD431" s="7">
        <v>2.1</v>
      </c>
    </row>
    <row r="432" spans="1:30" x14ac:dyDescent="0.25">
      <c r="A432" s="7">
        <v>4310</v>
      </c>
      <c r="B432" s="7" t="s">
        <v>493</v>
      </c>
      <c r="C432" s="7">
        <v>22</v>
      </c>
      <c r="D432" s="7" t="s">
        <v>94</v>
      </c>
      <c r="E432" s="7" t="s">
        <v>65</v>
      </c>
      <c r="F432" s="7">
        <v>15</v>
      </c>
      <c r="G432" s="7">
        <v>0</v>
      </c>
      <c r="H432" s="7">
        <v>4.0999999999999996</v>
      </c>
      <c r="I432" s="7">
        <v>0.7</v>
      </c>
      <c r="J432" s="7">
        <v>1.4</v>
      </c>
      <c r="K432" s="6">
        <f>IFERROR(database_24_25!$I432/database_24_25!$J432,0)</f>
        <v>0.5</v>
      </c>
      <c r="L432" s="7">
        <v>0.4</v>
      </c>
      <c r="M432" s="7">
        <v>0.8</v>
      </c>
      <c r="N432" s="6">
        <f>IFERROR(database_24_25!$L432/database_24_25!$M432,0)</f>
        <v>0.5</v>
      </c>
      <c r="O432" s="7">
        <v>0.3</v>
      </c>
      <c r="P432" s="5">
        <f>database_24_25!$Q432/10</f>
        <v>0.6</v>
      </c>
      <c r="Q432" s="7">
        <v>6</v>
      </c>
      <c r="R432" s="6">
        <f>IFERROR(database_24_25!$O432/database_24_25!$P432,0)</f>
        <v>0.5</v>
      </c>
      <c r="S432" s="7">
        <v>0.1</v>
      </c>
      <c r="T432" s="7">
        <v>0.3</v>
      </c>
      <c r="U432" s="6">
        <f>IFERROR(database_24_25!$S432/database_24_25!$T432,0)</f>
        <v>0.33333333333333337</v>
      </c>
      <c r="V432" s="7">
        <v>0.2</v>
      </c>
      <c r="W432" s="7">
        <v>0.6</v>
      </c>
      <c r="X432" s="7">
        <v>0.8</v>
      </c>
      <c r="Y432" s="7">
        <v>0.1</v>
      </c>
      <c r="Z432" s="7">
        <v>0.1</v>
      </c>
      <c r="AA432" s="7">
        <v>0.1</v>
      </c>
      <c r="AB432" s="7">
        <v>0.1</v>
      </c>
      <c r="AC432" s="7">
        <v>0.3</v>
      </c>
      <c r="AD432" s="7">
        <v>2</v>
      </c>
    </row>
    <row r="433" spans="1:30" x14ac:dyDescent="0.25">
      <c r="A433" s="5">
        <v>4400</v>
      </c>
      <c r="B433" s="5" t="s">
        <v>502</v>
      </c>
      <c r="C433" s="5">
        <v>24</v>
      </c>
      <c r="D433" s="5" t="s">
        <v>47</v>
      </c>
      <c r="E433" s="5" t="s">
        <v>35</v>
      </c>
      <c r="F433" s="5">
        <v>8</v>
      </c>
      <c r="G433" s="5">
        <v>0</v>
      </c>
      <c r="H433" s="5">
        <v>6.3</v>
      </c>
      <c r="I433" s="5">
        <v>0.8</v>
      </c>
      <c r="J433" s="5">
        <v>1.9</v>
      </c>
      <c r="K433" s="6">
        <f>IFERROR(database_24_25!$I433/database_24_25!$J433,0)</f>
        <v>0.4210526315789474</v>
      </c>
      <c r="L433" s="5">
        <v>0.1</v>
      </c>
      <c r="M433" s="5">
        <v>0.6</v>
      </c>
      <c r="N433" s="6">
        <f>IFERROR(database_24_25!$L433/database_24_25!$M433,0)</f>
        <v>0.16666666666666669</v>
      </c>
      <c r="O433" s="5">
        <v>0.6</v>
      </c>
      <c r="P433" s="5">
        <f>database_24_25!$Q433/10</f>
        <v>1.3</v>
      </c>
      <c r="Q433" s="5">
        <v>13</v>
      </c>
      <c r="R433" s="6">
        <f>IFERROR(database_24_25!$O433/database_24_25!$P433,0)</f>
        <v>0.46153846153846151</v>
      </c>
      <c r="S433" s="5">
        <v>0.4</v>
      </c>
      <c r="T433" s="5">
        <v>0.8</v>
      </c>
      <c r="U433" s="6">
        <f>IFERROR(database_24_25!$S433/database_24_25!$T433,0)</f>
        <v>0.5</v>
      </c>
      <c r="V433" s="5">
        <v>0.4</v>
      </c>
      <c r="W433" s="5">
        <v>1.1000000000000001</v>
      </c>
      <c r="X433" s="5">
        <v>1.5</v>
      </c>
      <c r="Y433" s="5">
        <v>1.1000000000000001</v>
      </c>
      <c r="Z433" s="5">
        <v>0.3</v>
      </c>
      <c r="AA433" s="5">
        <v>0.1</v>
      </c>
      <c r="AB433" s="5">
        <v>0.4</v>
      </c>
      <c r="AC433" s="5">
        <v>0.8</v>
      </c>
      <c r="AD433" s="5">
        <v>2</v>
      </c>
    </row>
    <row r="434" spans="1:30" x14ac:dyDescent="0.25">
      <c r="A434" s="7">
        <v>4320</v>
      </c>
      <c r="B434" s="7" t="s">
        <v>494</v>
      </c>
      <c r="C434" s="7">
        <v>21</v>
      </c>
      <c r="D434" s="7" t="s">
        <v>53</v>
      </c>
      <c r="E434" s="7" t="s">
        <v>65</v>
      </c>
      <c r="F434" s="7">
        <v>4</v>
      </c>
      <c r="G434" s="7">
        <v>0</v>
      </c>
      <c r="H434" s="7">
        <v>5.8</v>
      </c>
      <c r="I434" s="7">
        <v>1</v>
      </c>
      <c r="J434" s="7">
        <v>2.2999999999999998</v>
      </c>
      <c r="K434" s="6">
        <f>IFERROR(database_24_25!$I434/database_24_25!$J434,0)</f>
        <v>0.43478260869565222</v>
      </c>
      <c r="L434" s="7">
        <v>0</v>
      </c>
      <c r="M434" s="7">
        <v>1.3</v>
      </c>
      <c r="N434" s="6">
        <f>IFERROR(database_24_25!$L434/database_24_25!$M434,0)</f>
        <v>0</v>
      </c>
      <c r="O434" s="7">
        <v>1</v>
      </c>
      <c r="P434" s="5">
        <f>database_24_25!$Q434/10</f>
        <v>1</v>
      </c>
      <c r="Q434" s="7">
        <v>10</v>
      </c>
      <c r="R434" s="6">
        <f>IFERROR(database_24_25!$O434/database_24_25!$P434,0)</f>
        <v>1</v>
      </c>
      <c r="S434" s="7">
        <v>0</v>
      </c>
      <c r="T434" s="7">
        <v>0.3</v>
      </c>
      <c r="U434" s="6">
        <f>IFERROR(database_24_25!$S434/database_24_25!$T434,0)</f>
        <v>0</v>
      </c>
      <c r="V434" s="7">
        <v>0</v>
      </c>
      <c r="W434" s="7">
        <v>0.5</v>
      </c>
      <c r="X434" s="7">
        <v>0.5</v>
      </c>
      <c r="Y434" s="7">
        <v>0.5</v>
      </c>
      <c r="Z434" s="7">
        <v>0.5</v>
      </c>
      <c r="AA434" s="7">
        <v>0</v>
      </c>
      <c r="AB434" s="7">
        <v>0.3</v>
      </c>
      <c r="AC434" s="7">
        <v>0.5</v>
      </c>
      <c r="AD434" s="7">
        <v>2</v>
      </c>
    </row>
    <row r="435" spans="1:30" x14ac:dyDescent="0.25">
      <c r="A435" s="5">
        <v>4360</v>
      </c>
      <c r="B435" s="5" t="s">
        <v>498</v>
      </c>
      <c r="C435" s="5">
        <v>33</v>
      </c>
      <c r="D435" s="5" t="s">
        <v>39</v>
      </c>
      <c r="E435" s="5" t="s">
        <v>32</v>
      </c>
      <c r="F435" s="5">
        <v>21</v>
      </c>
      <c r="G435" s="5">
        <v>0</v>
      </c>
      <c r="H435" s="5">
        <v>6.6</v>
      </c>
      <c r="I435" s="5">
        <v>0.7</v>
      </c>
      <c r="J435" s="5">
        <v>2</v>
      </c>
      <c r="K435" s="6">
        <f>IFERROR(database_24_25!$I435/database_24_25!$J435,0)</f>
        <v>0.35</v>
      </c>
      <c r="L435" s="5">
        <v>0.5</v>
      </c>
      <c r="M435" s="5">
        <v>1.3</v>
      </c>
      <c r="N435" s="6">
        <f>IFERROR(database_24_25!$L435/database_24_25!$M435,0)</f>
        <v>0.38461538461538458</v>
      </c>
      <c r="O435" s="5">
        <v>0.2</v>
      </c>
      <c r="P435" s="5">
        <f>database_24_25!$Q435/10</f>
        <v>0.6</v>
      </c>
      <c r="Q435" s="5">
        <v>6</v>
      </c>
      <c r="R435" s="6">
        <f>IFERROR(database_24_25!$O435/database_24_25!$P435,0)</f>
        <v>0.33333333333333337</v>
      </c>
      <c r="S435" s="5">
        <v>0</v>
      </c>
      <c r="T435" s="5">
        <v>0</v>
      </c>
      <c r="U435" s="6">
        <f>IFERROR(database_24_25!$S435/database_24_25!$T435,0)</f>
        <v>0</v>
      </c>
      <c r="V435" s="5">
        <v>0.2</v>
      </c>
      <c r="W435" s="5">
        <v>0.7</v>
      </c>
      <c r="X435" s="5">
        <v>1</v>
      </c>
      <c r="Y435" s="5">
        <v>0.8</v>
      </c>
      <c r="Z435" s="5">
        <v>0.3</v>
      </c>
      <c r="AA435" s="5">
        <v>0.1</v>
      </c>
      <c r="AB435" s="5">
        <v>0.3</v>
      </c>
      <c r="AC435" s="5">
        <v>0.4</v>
      </c>
      <c r="AD435" s="5">
        <v>2</v>
      </c>
    </row>
    <row r="436" spans="1:30" x14ac:dyDescent="0.25">
      <c r="A436" s="7">
        <v>4340</v>
      </c>
      <c r="B436" s="7" t="s">
        <v>496</v>
      </c>
      <c r="C436" s="7">
        <v>22</v>
      </c>
      <c r="D436" s="7" t="s">
        <v>39</v>
      </c>
      <c r="E436" s="7" t="s">
        <v>65</v>
      </c>
      <c r="F436" s="7">
        <v>23</v>
      </c>
      <c r="G436" s="7">
        <v>1</v>
      </c>
      <c r="H436" s="7">
        <v>7.9</v>
      </c>
      <c r="I436" s="7">
        <v>0.6</v>
      </c>
      <c r="J436" s="7">
        <v>1.9</v>
      </c>
      <c r="K436" s="6">
        <f>IFERROR(database_24_25!$I436/database_24_25!$J436,0)</f>
        <v>0.31578947368421051</v>
      </c>
      <c r="L436" s="7">
        <v>0.5</v>
      </c>
      <c r="M436" s="7">
        <v>1.6</v>
      </c>
      <c r="N436" s="6">
        <f>IFERROR(database_24_25!$L436/database_24_25!$M436,0)</f>
        <v>0.3125</v>
      </c>
      <c r="O436" s="7">
        <v>0.1</v>
      </c>
      <c r="P436" s="5">
        <f>database_24_25!$Q436/10</f>
        <v>0.3</v>
      </c>
      <c r="Q436" s="7">
        <v>3</v>
      </c>
      <c r="R436" s="6">
        <f>IFERROR(database_24_25!$O436/database_24_25!$P436,0)</f>
        <v>0.33333333333333337</v>
      </c>
      <c r="S436" s="7">
        <v>0.2</v>
      </c>
      <c r="T436" s="7">
        <v>0.2</v>
      </c>
      <c r="U436" s="6">
        <f>IFERROR(database_24_25!$S436/database_24_25!$T436,0)</f>
        <v>1</v>
      </c>
      <c r="V436" s="7">
        <v>0.2</v>
      </c>
      <c r="W436" s="7">
        <v>0.4</v>
      </c>
      <c r="X436" s="7">
        <v>0.6</v>
      </c>
      <c r="Y436" s="7">
        <v>0.3</v>
      </c>
      <c r="Z436" s="7">
        <v>0.2</v>
      </c>
      <c r="AA436" s="7">
        <v>0.1</v>
      </c>
      <c r="AB436" s="7">
        <v>0</v>
      </c>
      <c r="AC436" s="7">
        <v>0.6</v>
      </c>
      <c r="AD436" s="7">
        <v>2</v>
      </c>
    </row>
    <row r="437" spans="1:30" x14ac:dyDescent="0.25">
      <c r="A437" s="5">
        <v>4390</v>
      </c>
      <c r="B437" s="5" t="s">
        <v>501</v>
      </c>
      <c r="C437" s="5">
        <v>25</v>
      </c>
      <c r="D437" s="5" t="s">
        <v>31</v>
      </c>
      <c r="E437" s="5" t="s">
        <v>27</v>
      </c>
      <c r="F437" s="5">
        <v>1</v>
      </c>
      <c r="G437" s="5">
        <v>0</v>
      </c>
      <c r="H437" s="5">
        <v>2</v>
      </c>
      <c r="I437" s="5">
        <v>1</v>
      </c>
      <c r="J437" s="5">
        <v>1</v>
      </c>
      <c r="K437" s="6">
        <f>IFERROR(database_24_25!$I437/database_24_25!$J437,0)</f>
        <v>1</v>
      </c>
      <c r="L437" s="5">
        <v>0</v>
      </c>
      <c r="M437" s="5">
        <v>0</v>
      </c>
      <c r="N437" s="6">
        <f>IFERROR(database_24_25!$L437/database_24_25!$M437,0)</f>
        <v>0</v>
      </c>
      <c r="O437" s="5">
        <v>1</v>
      </c>
      <c r="P437" s="5">
        <f>database_24_25!$Q437/10</f>
        <v>1</v>
      </c>
      <c r="Q437" s="5">
        <v>10</v>
      </c>
      <c r="R437" s="6">
        <f>IFERROR(database_24_25!$O437/database_24_25!$P437,0)</f>
        <v>1</v>
      </c>
      <c r="S437" s="5">
        <v>0</v>
      </c>
      <c r="T437" s="5">
        <v>0</v>
      </c>
      <c r="U437" s="6">
        <f>IFERROR(database_24_25!$S437/database_24_25!$T437,0)</f>
        <v>0</v>
      </c>
      <c r="V437" s="5">
        <v>1</v>
      </c>
      <c r="W437" s="5">
        <v>0</v>
      </c>
      <c r="X437" s="5">
        <v>1</v>
      </c>
      <c r="Y437" s="5">
        <v>0</v>
      </c>
      <c r="Z437" s="5">
        <v>0</v>
      </c>
      <c r="AA437" s="5">
        <v>0</v>
      </c>
      <c r="AB437" s="5">
        <v>0</v>
      </c>
      <c r="AC437" s="5">
        <v>0</v>
      </c>
      <c r="AD437" s="5">
        <v>2</v>
      </c>
    </row>
    <row r="438" spans="1:30" x14ac:dyDescent="0.25">
      <c r="A438" s="7">
        <v>4350</v>
      </c>
      <c r="B438" s="7" t="s">
        <v>497</v>
      </c>
      <c r="C438" s="7">
        <v>23</v>
      </c>
      <c r="D438" s="7" t="s">
        <v>31</v>
      </c>
      <c r="E438" s="7" t="s">
        <v>65</v>
      </c>
      <c r="F438" s="7">
        <v>26</v>
      </c>
      <c r="G438" s="7">
        <v>0</v>
      </c>
      <c r="H438" s="7">
        <v>8.1</v>
      </c>
      <c r="I438" s="7">
        <v>0.8</v>
      </c>
      <c r="J438" s="7">
        <v>2.2999999999999998</v>
      </c>
      <c r="K438" s="6">
        <f>IFERROR(database_24_25!$I438/database_24_25!$J438,0)</f>
        <v>0.34782608695652178</v>
      </c>
      <c r="L438" s="7">
        <v>0.3</v>
      </c>
      <c r="M438" s="7">
        <v>1.4</v>
      </c>
      <c r="N438" s="6">
        <f>IFERROR(database_24_25!$L438/database_24_25!$M438,0)</f>
        <v>0.2142857142857143</v>
      </c>
      <c r="O438" s="7">
        <v>0.5</v>
      </c>
      <c r="P438" s="5">
        <f>database_24_25!$Q438/10</f>
        <v>1</v>
      </c>
      <c r="Q438" s="7">
        <v>10</v>
      </c>
      <c r="R438" s="6">
        <f>IFERROR(database_24_25!$O438/database_24_25!$P438,0)</f>
        <v>0.5</v>
      </c>
      <c r="S438" s="7">
        <v>0.2</v>
      </c>
      <c r="T438" s="7">
        <v>0.5</v>
      </c>
      <c r="U438" s="6">
        <f>IFERROR(database_24_25!$S438/database_24_25!$T438,0)</f>
        <v>0.4</v>
      </c>
      <c r="V438" s="7">
        <v>0.6</v>
      </c>
      <c r="W438" s="7">
        <v>1.2</v>
      </c>
      <c r="X438" s="7">
        <v>1.8</v>
      </c>
      <c r="Y438" s="7">
        <v>0.7</v>
      </c>
      <c r="Z438" s="7">
        <v>0.2</v>
      </c>
      <c r="AA438" s="7">
        <v>0.1</v>
      </c>
      <c r="AB438" s="7">
        <v>0.3</v>
      </c>
      <c r="AC438" s="7">
        <v>0.9</v>
      </c>
      <c r="AD438" s="7">
        <v>2</v>
      </c>
    </row>
    <row r="439" spans="1:30" x14ac:dyDescent="0.25">
      <c r="A439" s="5">
        <v>4370</v>
      </c>
      <c r="B439" s="5" t="s">
        <v>499</v>
      </c>
      <c r="C439" s="5">
        <v>21</v>
      </c>
      <c r="D439" s="5" t="s">
        <v>63</v>
      </c>
      <c r="E439" s="5" t="s">
        <v>65</v>
      </c>
      <c r="F439" s="5">
        <v>1</v>
      </c>
      <c r="G439" s="5">
        <v>0</v>
      </c>
      <c r="H439" s="5">
        <v>2</v>
      </c>
      <c r="I439" s="5">
        <v>0</v>
      </c>
      <c r="J439" s="5">
        <v>0</v>
      </c>
      <c r="K439" s="6">
        <f>IFERROR(database_24_25!$I439/database_24_25!$J439,0)</f>
        <v>0</v>
      </c>
      <c r="L439" s="5">
        <v>0</v>
      </c>
      <c r="M439" s="5">
        <v>0</v>
      </c>
      <c r="N439" s="6">
        <f>IFERROR(database_24_25!$L439/database_24_25!$M439,0)</f>
        <v>0</v>
      </c>
      <c r="O439" s="5">
        <v>0</v>
      </c>
      <c r="P439" s="5">
        <f>database_24_25!$Q439/10</f>
        <v>0</v>
      </c>
      <c r="Q439" s="5">
        <v>0</v>
      </c>
      <c r="R439" s="6">
        <f>IFERROR(database_24_25!$O439/database_24_25!$P439,0)</f>
        <v>0</v>
      </c>
      <c r="S439" s="5">
        <v>2</v>
      </c>
      <c r="T439" s="5">
        <v>2</v>
      </c>
      <c r="U439" s="6">
        <f>IFERROR(database_24_25!$S439/database_24_25!$T439,0)</f>
        <v>1</v>
      </c>
      <c r="V439" s="5">
        <v>0</v>
      </c>
      <c r="W439" s="5">
        <v>0</v>
      </c>
      <c r="X439" s="5">
        <v>0</v>
      </c>
      <c r="Y439" s="5">
        <v>0</v>
      </c>
      <c r="Z439" s="5">
        <v>1</v>
      </c>
      <c r="AA439" s="5">
        <v>0</v>
      </c>
      <c r="AB439" s="5">
        <v>0</v>
      </c>
      <c r="AC439" s="5">
        <v>0</v>
      </c>
      <c r="AD439" s="5">
        <v>2</v>
      </c>
    </row>
    <row r="440" spans="1:30" x14ac:dyDescent="0.25">
      <c r="A440" s="5">
        <v>4420</v>
      </c>
      <c r="B440" s="5" t="s">
        <v>504</v>
      </c>
      <c r="C440" s="5">
        <v>20</v>
      </c>
      <c r="D440" s="5" t="s">
        <v>29</v>
      </c>
      <c r="E440" s="5" t="s">
        <v>27</v>
      </c>
      <c r="F440" s="5">
        <v>11</v>
      </c>
      <c r="G440" s="5">
        <v>0</v>
      </c>
      <c r="H440" s="5">
        <v>3.5</v>
      </c>
      <c r="I440" s="5">
        <v>0.8</v>
      </c>
      <c r="J440" s="5">
        <v>1.3</v>
      </c>
      <c r="K440" s="6">
        <f>IFERROR(database_24_25!$I440/database_24_25!$J440,0)</f>
        <v>0.61538461538461542</v>
      </c>
      <c r="L440" s="5">
        <v>0.3</v>
      </c>
      <c r="M440" s="5">
        <v>0.7</v>
      </c>
      <c r="N440" s="6">
        <f>IFERROR(database_24_25!$L440/database_24_25!$M440,0)</f>
        <v>0.4285714285714286</v>
      </c>
      <c r="O440" s="5">
        <v>0.5</v>
      </c>
      <c r="P440" s="5">
        <f>database_24_25!$Q440/10</f>
        <v>0.5</v>
      </c>
      <c r="Q440" s="5">
        <v>5</v>
      </c>
      <c r="R440" s="6">
        <f>IFERROR(database_24_25!$O440/database_24_25!$P440,0)</f>
        <v>1</v>
      </c>
      <c r="S440" s="5">
        <v>0.1</v>
      </c>
      <c r="T440" s="5">
        <v>0.2</v>
      </c>
      <c r="U440" s="6">
        <f>IFERROR(database_24_25!$S440/database_24_25!$T440,0)</f>
        <v>0.5</v>
      </c>
      <c r="V440" s="5">
        <v>0.1</v>
      </c>
      <c r="W440" s="5">
        <v>0.8</v>
      </c>
      <c r="X440" s="5">
        <v>0.9</v>
      </c>
      <c r="Y440" s="5">
        <v>0.1</v>
      </c>
      <c r="Z440" s="5">
        <v>0</v>
      </c>
      <c r="AA440" s="5">
        <v>0.3</v>
      </c>
      <c r="AB440" s="5">
        <v>0.3</v>
      </c>
      <c r="AC440" s="5">
        <v>0.4</v>
      </c>
      <c r="AD440" s="5">
        <v>2</v>
      </c>
    </row>
    <row r="441" spans="1:30" x14ac:dyDescent="0.25">
      <c r="A441" s="5">
        <v>4330</v>
      </c>
      <c r="B441" s="5" t="s">
        <v>495</v>
      </c>
      <c r="C441" s="5">
        <v>21</v>
      </c>
      <c r="D441" s="5" t="s">
        <v>51</v>
      </c>
      <c r="E441" s="5" t="s">
        <v>58</v>
      </c>
      <c r="F441" s="5">
        <v>2</v>
      </c>
      <c r="G441" s="5">
        <v>0</v>
      </c>
      <c r="H441" s="5">
        <v>7</v>
      </c>
      <c r="I441" s="5">
        <v>0.5</v>
      </c>
      <c r="J441" s="5">
        <v>0.5</v>
      </c>
      <c r="K441" s="6">
        <f>IFERROR(database_24_25!$I441/database_24_25!$J441,0)</f>
        <v>1</v>
      </c>
      <c r="L441" s="5">
        <v>0</v>
      </c>
      <c r="M441" s="5">
        <v>0</v>
      </c>
      <c r="N441" s="6">
        <f>IFERROR(database_24_25!$L441/database_24_25!$M441,0)</f>
        <v>0</v>
      </c>
      <c r="O441" s="5">
        <v>0.5</v>
      </c>
      <c r="P441" s="5">
        <f>database_24_25!$Q441/10</f>
        <v>0.5</v>
      </c>
      <c r="Q441" s="5">
        <v>5</v>
      </c>
      <c r="R441" s="6">
        <f>IFERROR(database_24_25!$O441/database_24_25!$P441,0)</f>
        <v>1</v>
      </c>
      <c r="S441" s="5">
        <v>1</v>
      </c>
      <c r="T441" s="5">
        <v>1</v>
      </c>
      <c r="U441" s="6">
        <f>IFERROR(database_24_25!$S441/database_24_25!$T441,0)</f>
        <v>1</v>
      </c>
      <c r="V441" s="5">
        <v>0.5</v>
      </c>
      <c r="W441" s="5">
        <v>0</v>
      </c>
      <c r="X441" s="5">
        <v>0.5</v>
      </c>
      <c r="Y441" s="5">
        <v>0.5</v>
      </c>
      <c r="Z441" s="5">
        <v>0</v>
      </c>
      <c r="AA441" s="5">
        <v>0.5</v>
      </c>
      <c r="AB441" s="5">
        <v>0.5</v>
      </c>
      <c r="AC441" s="5">
        <v>1.5</v>
      </c>
      <c r="AD441" s="5">
        <v>2</v>
      </c>
    </row>
    <row r="442" spans="1:30" x14ac:dyDescent="0.25">
      <c r="A442" s="7">
        <v>4380</v>
      </c>
      <c r="B442" s="7" t="s">
        <v>500</v>
      </c>
      <c r="C442" s="7">
        <v>35</v>
      </c>
      <c r="D442" s="7" t="s">
        <v>43</v>
      </c>
      <c r="E442" s="7" t="s">
        <v>27</v>
      </c>
      <c r="F442" s="7">
        <v>5</v>
      </c>
      <c r="G442" s="7">
        <v>0</v>
      </c>
      <c r="H442" s="7">
        <v>5</v>
      </c>
      <c r="I442" s="7">
        <v>0.8</v>
      </c>
      <c r="J442" s="7">
        <v>2.8</v>
      </c>
      <c r="K442" s="6">
        <f>IFERROR(database_24_25!$I442/database_24_25!$J442,0)</f>
        <v>0.28571428571428575</v>
      </c>
      <c r="L442" s="7">
        <v>0.4</v>
      </c>
      <c r="M442" s="7">
        <v>1.4</v>
      </c>
      <c r="N442" s="6">
        <f>IFERROR(database_24_25!$L442/database_24_25!$M442,0)</f>
        <v>0.28571428571428575</v>
      </c>
      <c r="O442" s="7">
        <v>0.4</v>
      </c>
      <c r="P442" s="5">
        <f>database_24_25!$Q442/10</f>
        <v>1.4</v>
      </c>
      <c r="Q442" s="7">
        <v>14</v>
      </c>
      <c r="R442" s="6">
        <f>IFERROR(database_24_25!$O442/database_24_25!$P442,0)</f>
        <v>0.28571428571428575</v>
      </c>
      <c r="S442" s="7">
        <v>0</v>
      </c>
      <c r="T442" s="7">
        <v>0</v>
      </c>
      <c r="U442" s="6">
        <f>IFERROR(database_24_25!$S442/database_24_25!$T442,0)</f>
        <v>0</v>
      </c>
      <c r="V442" s="7">
        <v>0</v>
      </c>
      <c r="W442" s="7">
        <v>1.2</v>
      </c>
      <c r="X442" s="7">
        <v>1.2</v>
      </c>
      <c r="Y442" s="7">
        <v>0.6</v>
      </c>
      <c r="Z442" s="7">
        <v>0</v>
      </c>
      <c r="AA442" s="7">
        <v>0.2</v>
      </c>
      <c r="AB442" s="7">
        <v>0.4</v>
      </c>
      <c r="AC442" s="7">
        <v>0.2</v>
      </c>
      <c r="AD442" s="7">
        <v>2</v>
      </c>
    </row>
    <row r="443" spans="1:30" x14ac:dyDescent="0.25">
      <c r="A443" s="7">
        <v>4410</v>
      </c>
      <c r="B443" s="7" t="s">
        <v>503</v>
      </c>
      <c r="C443" s="7">
        <v>22</v>
      </c>
      <c r="D443" s="7" t="s">
        <v>90</v>
      </c>
      <c r="E443" s="7" t="s">
        <v>35</v>
      </c>
      <c r="F443" s="7">
        <v>4</v>
      </c>
      <c r="G443" s="7">
        <v>0</v>
      </c>
      <c r="H443" s="7">
        <v>5.3</v>
      </c>
      <c r="I443" s="7">
        <v>1</v>
      </c>
      <c r="J443" s="7">
        <v>1.8</v>
      </c>
      <c r="K443" s="6">
        <f>IFERROR(database_24_25!$I443/database_24_25!$J443,0)</f>
        <v>0.55555555555555558</v>
      </c>
      <c r="L443" s="7">
        <v>0</v>
      </c>
      <c r="M443" s="7">
        <v>0</v>
      </c>
      <c r="N443" s="6">
        <f>IFERROR(database_24_25!$L443/database_24_25!$M443,0)</f>
        <v>0</v>
      </c>
      <c r="O443" s="7">
        <v>1</v>
      </c>
      <c r="P443" s="5">
        <f>database_24_25!$Q443/10</f>
        <v>1.8</v>
      </c>
      <c r="Q443" s="7">
        <v>18</v>
      </c>
      <c r="R443" s="6">
        <f>IFERROR(database_24_25!$O443/database_24_25!$P443,0)</f>
        <v>0.55555555555555558</v>
      </c>
      <c r="S443" s="7">
        <v>0</v>
      </c>
      <c r="T443" s="7">
        <v>0</v>
      </c>
      <c r="U443" s="6">
        <f>IFERROR(database_24_25!$S443/database_24_25!$T443,0)</f>
        <v>0</v>
      </c>
      <c r="V443" s="7">
        <v>1.3</v>
      </c>
      <c r="W443" s="7">
        <v>0.3</v>
      </c>
      <c r="X443" s="7">
        <v>1.5</v>
      </c>
      <c r="Y443" s="7">
        <v>0.3</v>
      </c>
      <c r="Z443" s="7">
        <v>0</v>
      </c>
      <c r="AA443" s="7">
        <v>0</v>
      </c>
      <c r="AB443" s="7">
        <v>0.3</v>
      </c>
      <c r="AC443" s="7">
        <v>0.3</v>
      </c>
      <c r="AD443" s="7">
        <v>2</v>
      </c>
    </row>
    <row r="444" spans="1:30" x14ac:dyDescent="0.25">
      <c r="A444" s="7">
        <v>4430</v>
      </c>
      <c r="B444" s="7" t="s">
        <v>505</v>
      </c>
      <c r="C444" s="7">
        <v>22</v>
      </c>
      <c r="D444" s="7" t="s">
        <v>55</v>
      </c>
      <c r="E444" s="7" t="s">
        <v>35</v>
      </c>
      <c r="F444" s="7">
        <v>12</v>
      </c>
      <c r="G444" s="7">
        <v>0</v>
      </c>
      <c r="H444" s="7">
        <v>8.3000000000000007</v>
      </c>
      <c r="I444" s="7">
        <v>0.8</v>
      </c>
      <c r="J444" s="7">
        <v>1.2</v>
      </c>
      <c r="K444" s="6">
        <f>IFERROR(database_24_25!$I444/database_24_25!$J444,0)</f>
        <v>0.66666666666666674</v>
      </c>
      <c r="L444" s="7">
        <v>0</v>
      </c>
      <c r="M444" s="7">
        <v>0</v>
      </c>
      <c r="N444" s="6">
        <f>IFERROR(database_24_25!$L444/database_24_25!$M444,0)</f>
        <v>0</v>
      </c>
      <c r="O444" s="7">
        <v>0.8</v>
      </c>
      <c r="P444" s="5">
        <f>database_24_25!$Q444/10</f>
        <v>1.2</v>
      </c>
      <c r="Q444" s="7">
        <v>12</v>
      </c>
      <c r="R444" s="6">
        <f>IFERROR(database_24_25!$O444/database_24_25!$P444,0)</f>
        <v>0.66666666666666674</v>
      </c>
      <c r="S444" s="7">
        <v>0.3</v>
      </c>
      <c r="T444" s="7">
        <v>0.7</v>
      </c>
      <c r="U444" s="6">
        <f>IFERROR(database_24_25!$S444/database_24_25!$T444,0)</f>
        <v>0.4285714285714286</v>
      </c>
      <c r="V444" s="7">
        <v>0.3</v>
      </c>
      <c r="W444" s="7">
        <v>1.5</v>
      </c>
      <c r="X444" s="7">
        <v>1.8</v>
      </c>
      <c r="Y444" s="7">
        <v>0.5</v>
      </c>
      <c r="Z444" s="7">
        <v>0</v>
      </c>
      <c r="AA444" s="7">
        <v>0.7</v>
      </c>
      <c r="AB444" s="7">
        <v>0.8</v>
      </c>
      <c r="AC444" s="7">
        <v>1.2</v>
      </c>
      <c r="AD444" s="7">
        <v>1.8</v>
      </c>
    </row>
    <row r="445" spans="1:30" x14ac:dyDescent="0.25">
      <c r="A445" s="5">
        <v>4440</v>
      </c>
      <c r="B445" s="5" t="s">
        <v>506</v>
      </c>
      <c r="C445" s="5">
        <v>23</v>
      </c>
      <c r="D445" s="5" t="s">
        <v>70</v>
      </c>
      <c r="E445" s="5" t="s">
        <v>65</v>
      </c>
      <c r="F445" s="5">
        <v>4</v>
      </c>
      <c r="G445" s="5">
        <v>0</v>
      </c>
      <c r="H445" s="5">
        <v>6.5</v>
      </c>
      <c r="I445" s="5">
        <v>0.8</v>
      </c>
      <c r="J445" s="5">
        <v>1</v>
      </c>
      <c r="K445" s="6">
        <f>IFERROR(database_24_25!$I445/database_24_25!$J445,0)</f>
        <v>0.8</v>
      </c>
      <c r="L445" s="5">
        <v>0.3</v>
      </c>
      <c r="M445" s="5">
        <v>0.5</v>
      </c>
      <c r="N445" s="6">
        <f>IFERROR(database_24_25!$L445/database_24_25!$M445,0)</f>
        <v>0.6</v>
      </c>
      <c r="O445" s="5">
        <v>0.5</v>
      </c>
      <c r="P445" s="5">
        <f>database_24_25!$Q445/10</f>
        <v>0.5</v>
      </c>
      <c r="Q445" s="5">
        <v>5</v>
      </c>
      <c r="R445" s="6">
        <f>IFERROR(database_24_25!$O445/database_24_25!$P445,0)</f>
        <v>1</v>
      </c>
      <c r="S445" s="5">
        <v>0</v>
      </c>
      <c r="T445" s="5">
        <v>0</v>
      </c>
      <c r="U445" s="6">
        <f>IFERROR(database_24_25!$S445/database_24_25!$T445,0)</f>
        <v>0</v>
      </c>
      <c r="V445" s="5">
        <v>0</v>
      </c>
      <c r="W445" s="5">
        <v>2.2999999999999998</v>
      </c>
      <c r="X445" s="5">
        <v>2.2999999999999998</v>
      </c>
      <c r="Y445" s="5">
        <v>0.3</v>
      </c>
      <c r="Z445" s="5">
        <v>0</v>
      </c>
      <c r="AA445" s="5">
        <v>0.8</v>
      </c>
      <c r="AB445" s="5">
        <v>0.3</v>
      </c>
      <c r="AC445" s="5">
        <v>0.5</v>
      </c>
      <c r="AD445" s="5">
        <v>1.8</v>
      </c>
    </row>
    <row r="446" spans="1:30" x14ac:dyDescent="0.25">
      <c r="A446" s="7">
        <v>4460</v>
      </c>
      <c r="B446" s="7" t="s">
        <v>508</v>
      </c>
      <c r="C446" s="7">
        <v>26</v>
      </c>
      <c r="D446" s="7" t="s">
        <v>55</v>
      </c>
      <c r="E446" s="7" t="s">
        <v>35</v>
      </c>
      <c r="F446" s="7">
        <v>29</v>
      </c>
      <c r="G446" s="7">
        <v>2</v>
      </c>
      <c r="H446" s="7">
        <v>11.6</v>
      </c>
      <c r="I446" s="7">
        <v>0.8</v>
      </c>
      <c r="J446" s="7">
        <v>1.2</v>
      </c>
      <c r="K446" s="6">
        <f>IFERROR(database_24_25!$I446/database_24_25!$J446,0)</f>
        <v>0.66666666666666674</v>
      </c>
      <c r="L446" s="7">
        <v>0</v>
      </c>
      <c r="M446" s="7">
        <v>0</v>
      </c>
      <c r="N446" s="6">
        <f>IFERROR(database_24_25!$L446/database_24_25!$M446,0)</f>
        <v>0</v>
      </c>
      <c r="O446" s="7">
        <v>0.8</v>
      </c>
      <c r="P446" s="5">
        <f>database_24_25!$Q446/10</f>
        <v>1.2</v>
      </c>
      <c r="Q446" s="7">
        <v>12</v>
      </c>
      <c r="R446" s="6">
        <f>IFERROR(database_24_25!$O446/database_24_25!$P446,0)</f>
        <v>0.66666666666666674</v>
      </c>
      <c r="S446" s="7">
        <v>0.2</v>
      </c>
      <c r="T446" s="7">
        <v>0.3</v>
      </c>
      <c r="U446" s="6">
        <f>IFERROR(database_24_25!$S446/database_24_25!$T446,0)</f>
        <v>0.66666666666666674</v>
      </c>
      <c r="V446" s="7">
        <v>1.3</v>
      </c>
      <c r="W446" s="7">
        <v>2.2000000000000002</v>
      </c>
      <c r="X446" s="7">
        <v>3.6</v>
      </c>
      <c r="Y446" s="7">
        <v>0.6</v>
      </c>
      <c r="Z446" s="7">
        <v>0.2</v>
      </c>
      <c r="AA446" s="7">
        <v>0.3</v>
      </c>
      <c r="AB446" s="7">
        <v>0.5</v>
      </c>
      <c r="AC446" s="7">
        <v>1.3</v>
      </c>
      <c r="AD446" s="7">
        <v>1.7</v>
      </c>
    </row>
    <row r="447" spans="1:30" x14ac:dyDescent="0.25">
      <c r="A447" s="7">
        <v>4450</v>
      </c>
      <c r="B447" s="7" t="s">
        <v>507</v>
      </c>
      <c r="C447" s="7">
        <v>24</v>
      </c>
      <c r="D447" s="7" t="s">
        <v>29</v>
      </c>
      <c r="E447" s="7" t="s">
        <v>65</v>
      </c>
      <c r="F447" s="7">
        <v>15</v>
      </c>
      <c r="G447" s="7">
        <v>0</v>
      </c>
      <c r="H447" s="7">
        <v>3.9</v>
      </c>
      <c r="I447" s="7">
        <v>0.6</v>
      </c>
      <c r="J447" s="7">
        <v>1.5</v>
      </c>
      <c r="K447" s="6">
        <f>IFERROR(database_24_25!$I447/database_24_25!$J447,0)</f>
        <v>0.39999999999999997</v>
      </c>
      <c r="L447" s="7">
        <v>0.2</v>
      </c>
      <c r="M447" s="7">
        <v>0.7</v>
      </c>
      <c r="N447" s="6">
        <f>IFERROR(database_24_25!$L447/database_24_25!$M447,0)</f>
        <v>0.28571428571428575</v>
      </c>
      <c r="O447" s="7">
        <v>0.4</v>
      </c>
      <c r="P447" s="5">
        <f>database_24_25!$Q447/10</f>
        <v>0.7</v>
      </c>
      <c r="Q447" s="7">
        <v>7</v>
      </c>
      <c r="R447" s="6">
        <f>IFERROR(database_24_25!$O447/database_24_25!$P447,0)</f>
        <v>0.57142857142857151</v>
      </c>
      <c r="S447" s="7">
        <v>0.3</v>
      </c>
      <c r="T447" s="7">
        <v>0.4</v>
      </c>
      <c r="U447" s="6">
        <f>IFERROR(database_24_25!$S447/database_24_25!$T447,0)</f>
        <v>0.74999999999999989</v>
      </c>
      <c r="V447" s="7">
        <v>0.1</v>
      </c>
      <c r="W447" s="7">
        <v>0.9</v>
      </c>
      <c r="X447" s="7">
        <v>1.1000000000000001</v>
      </c>
      <c r="Y447" s="7">
        <v>0.1</v>
      </c>
      <c r="Z447" s="7">
        <v>0.1</v>
      </c>
      <c r="AA447" s="7">
        <v>0</v>
      </c>
      <c r="AB447" s="7">
        <v>0.7</v>
      </c>
      <c r="AC447" s="7">
        <v>0.3</v>
      </c>
      <c r="AD447" s="7">
        <v>1.7</v>
      </c>
    </row>
    <row r="448" spans="1:30" x14ac:dyDescent="0.25">
      <c r="A448" s="5">
        <v>4470</v>
      </c>
      <c r="B448" s="5" t="s">
        <v>509</v>
      </c>
      <c r="C448" s="5">
        <v>20</v>
      </c>
      <c r="D448" s="5" t="s">
        <v>41</v>
      </c>
      <c r="E448" s="5" t="s">
        <v>27</v>
      </c>
      <c r="F448" s="5">
        <v>26</v>
      </c>
      <c r="G448" s="5">
        <v>1</v>
      </c>
      <c r="H448" s="5">
        <v>8.8000000000000007</v>
      </c>
      <c r="I448" s="5">
        <v>0.6</v>
      </c>
      <c r="J448" s="5">
        <v>1.8</v>
      </c>
      <c r="K448" s="6">
        <f>IFERROR(database_24_25!$I448/database_24_25!$J448,0)</f>
        <v>0.33333333333333331</v>
      </c>
      <c r="L448" s="5">
        <v>0.3</v>
      </c>
      <c r="M448" s="5">
        <v>1.2</v>
      </c>
      <c r="N448" s="6">
        <f>IFERROR(database_24_25!$L448/database_24_25!$M448,0)</f>
        <v>0.25</v>
      </c>
      <c r="O448" s="5">
        <v>0.3</v>
      </c>
      <c r="P448" s="5">
        <f>database_24_25!$Q448/10</f>
        <v>0.6</v>
      </c>
      <c r="Q448" s="5">
        <v>6</v>
      </c>
      <c r="R448" s="6">
        <f>IFERROR(database_24_25!$O448/database_24_25!$P448,0)</f>
        <v>0.5</v>
      </c>
      <c r="S448" s="5">
        <v>0.2</v>
      </c>
      <c r="T448" s="5">
        <v>0.4</v>
      </c>
      <c r="U448" s="6">
        <f>IFERROR(database_24_25!$S448/database_24_25!$T448,0)</f>
        <v>0.5</v>
      </c>
      <c r="V448" s="5">
        <v>0.4</v>
      </c>
      <c r="W448" s="5">
        <v>0.8</v>
      </c>
      <c r="X448" s="5">
        <v>1.3</v>
      </c>
      <c r="Y448" s="5">
        <v>0.3</v>
      </c>
      <c r="Z448" s="5">
        <v>0.3</v>
      </c>
      <c r="AA448" s="5">
        <v>0.3</v>
      </c>
      <c r="AB448" s="5">
        <v>0.3</v>
      </c>
      <c r="AC448" s="5">
        <v>0.6</v>
      </c>
      <c r="AD448" s="5">
        <v>1.7</v>
      </c>
    </row>
    <row r="449" spans="1:30" x14ac:dyDescent="0.25">
      <c r="A449" s="5">
        <v>4520</v>
      </c>
      <c r="B449" s="5" t="s">
        <v>514</v>
      </c>
      <c r="C449" s="5">
        <v>31</v>
      </c>
      <c r="D449" s="5" t="s">
        <v>47</v>
      </c>
      <c r="E449" s="5" t="s">
        <v>35</v>
      </c>
      <c r="F449" s="5">
        <v>27</v>
      </c>
      <c r="G449" s="5">
        <v>3</v>
      </c>
      <c r="H449" s="5">
        <v>7.4</v>
      </c>
      <c r="I449" s="5">
        <v>0.7</v>
      </c>
      <c r="J449" s="5">
        <v>1.3</v>
      </c>
      <c r="K449" s="6">
        <f>IFERROR(database_24_25!$I449/database_24_25!$J449,0)</f>
        <v>0.53846153846153844</v>
      </c>
      <c r="L449" s="5">
        <v>0</v>
      </c>
      <c r="M449" s="5">
        <v>0.1</v>
      </c>
      <c r="N449" s="6">
        <f>IFERROR(database_24_25!$L449/database_24_25!$M449,0)</f>
        <v>0</v>
      </c>
      <c r="O449" s="5">
        <v>0.7</v>
      </c>
      <c r="P449" s="5">
        <f>database_24_25!$Q449/10</f>
        <v>1.2</v>
      </c>
      <c r="Q449" s="5">
        <v>12</v>
      </c>
      <c r="R449" s="6">
        <f>IFERROR(database_24_25!$O449/database_24_25!$P449,0)</f>
        <v>0.58333333333333337</v>
      </c>
      <c r="S449" s="5">
        <v>0.2</v>
      </c>
      <c r="T449" s="5">
        <v>0.4</v>
      </c>
      <c r="U449" s="6">
        <f>IFERROR(database_24_25!$S449/database_24_25!$T449,0)</f>
        <v>0.5</v>
      </c>
      <c r="V449" s="5">
        <v>0.7</v>
      </c>
      <c r="W449" s="5">
        <v>1.2</v>
      </c>
      <c r="X449" s="5">
        <v>1.9</v>
      </c>
      <c r="Y449" s="5">
        <v>0.9</v>
      </c>
      <c r="Z449" s="5">
        <v>0.2</v>
      </c>
      <c r="AA449" s="5">
        <v>0.6</v>
      </c>
      <c r="AB449" s="5">
        <v>0.3</v>
      </c>
      <c r="AC449" s="5">
        <v>0.9</v>
      </c>
      <c r="AD449" s="5">
        <v>1.6</v>
      </c>
    </row>
    <row r="450" spans="1:30" x14ac:dyDescent="0.25">
      <c r="A450" s="5">
        <v>4480</v>
      </c>
      <c r="B450" s="5" t="s">
        <v>510</v>
      </c>
      <c r="C450" s="5">
        <v>19</v>
      </c>
      <c r="D450" s="5" t="s">
        <v>55</v>
      </c>
      <c r="E450" s="5" t="s">
        <v>58</v>
      </c>
      <c r="F450" s="5">
        <v>12</v>
      </c>
      <c r="G450" s="5">
        <v>0</v>
      </c>
      <c r="H450" s="5">
        <v>6.8</v>
      </c>
      <c r="I450" s="5">
        <v>0.5</v>
      </c>
      <c r="J450" s="5">
        <v>1.7</v>
      </c>
      <c r="K450" s="6">
        <f>IFERROR(database_24_25!$I450/database_24_25!$J450,0)</f>
        <v>0.29411764705882354</v>
      </c>
      <c r="L450" s="5">
        <v>0.4</v>
      </c>
      <c r="M450" s="5">
        <v>1.2</v>
      </c>
      <c r="N450" s="6">
        <f>IFERROR(database_24_25!$L450/database_24_25!$M450,0)</f>
        <v>0.33333333333333337</v>
      </c>
      <c r="O450" s="5">
        <v>0.1</v>
      </c>
      <c r="P450" s="5">
        <f>database_24_25!$Q450/10</f>
        <v>0.5</v>
      </c>
      <c r="Q450" s="5">
        <v>5</v>
      </c>
      <c r="R450" s="6">
        <f>IFERROR(database_24_25!$O450/database_24_25!$P450,0)</f>
        <v>0.2</v>
      </c>
      <c r="S450" s="5">
        <v>0.2</v>
      </c>
      <c r="T450" s="5">
        <v>0.2</v>
      </c>
      <c r="U450" s="6">
        <f>IFERROR(database_24_25!$S450/database_24_25!$T450,0)</f>
        <v>1</v>
      </c>
      <c r="V450" s="5">
        <v>0</v>
      </c>
      <c r="W450" s="5">
        <v>1.1000000000000001</v>
      </c>
      <c r="X450" s="5">
        <v>1.1000000000000001</v>
      </c>
      <c r="Y450" s="5">
        <v>0.4</v>
      </c>
      <c r="Z450" s="5">
        <v>0.1</v>
      </c>
      <c r="AA450" s="5">
        <v>0.2</v>
      </c>
      <c r="AB450" s="5">
        <v>0.1</v>
      </c>
      <c r="AC450" s="5">
        <v>0.4</v>
      </c>
      <c r="AD450" s="5">
        <v>1.6</v>
      </c>
    </row>
    <row r="451" spans="1:30" x14ac:dyDescent="0.25">
      <c r="A451" s="7">
        <v>4510</v>
      </c>
      <c r="B451" s="7" t="s">
        <v>513</v>
      </c>
      <c r="C451" s="7">
        <v>23</v>
      </c>
      <c r="D451" s="7" t="s">
        <v>88</v>
      </c>
      <c r="E451" s="7" t="s">
        <v>32</v>
      </c>
      <c r="F451" s="7">
        <v>15</v>
      </c>
      <c r="G451" s="7">
        <v>0</v>
      </c>
      <c r="H451" s="7">
        <v>3.5</v>
      </c>
      <c r="I451" s="7">
        <v>0.5</v>
      </c>
      <c r="J451" s="7">
        <v>1.3</v>
      </c>
      <c r="K451" s="6">
        <f>IFERROR(database_24_25!$I451/database_24_25!$J451,0)</f>
        <v>0.38461538461538458</v>
      </c>
      <c r="L451" s="7">
        <v>0.3</v>
      </c>
      <c r="M451" s="7">
        <v>0.9</v>
      </c>
      <c r="N451" s="6">
        <f>IFERROR(database_24_25!$L451/database_24_25!$M451,0)</f>
        <v>0.33333333333333331</v>
      </c>
      <c r="O451" s="7">
        <v>0.3</v>
      </c>
      <c r="P451" s="5">
        <f>database_24_25!$Q451/10</f>
        <v>0.4</v>
      </c>
      <c r="Q451" s="7">
        <v>4</v>
      </c>
      <c r="R451" s="6">
        <f>IFERROR(database_24_25!$O451/database_24_25!$P451,0)</f>
        <v>0.74999999999999989</v>
      </c>
      <c r="S451" s="7">
        <v>0.3</v>
      </c>
      <c r="T451" s="7">
        <v>0.4</v>
      </c>
      <c r="U451" s="6">
        <f>IFERROR(database_24_25!$S451/database_24_25!$T451,0)</f>
        <v>0.74999999999999989</v>
      </c>
      <c r="V451" s="7">
        <v>0</v>
      </c>
      <c r="W451" s="7">
        <v>0.3</v>
      </c>
      <c r="X451" s="7">
        <v>0.3</v>
      </c>
      <c r="Y451" s="7">
        <v>0.7</v>
      </c>
      <c r="Z451" s="7">
        <v>0.1</v>
      </c>
      <c r="AA451" s="7">
        <v>0</v>
      </c>
      <c r="AB451" s="7">
        <v>0.3</v>
      </c>
      <c r="AC451" s="7">
        <v>0.3</v>
      </c>
      <c r="AD451" s="7">
        <v>1.6</v>
      </c>
    </row>
    <row r="452" spans="1:30" x14ac:dyDescent="0.25">
      <c r="A452" s="5">
        <v>4500</v>
      </c>
      <c r="B452" s="5" t="s">
        <v>512</v>
      </c>
      <c r="C452" s="5">
        <v>37</v>
      </c>
      <c r="D452" s="5" t="s">
        <v>108</v>
      </c>
      <c r="E452" s="5" t="s">
        <v>27</v>
      </c>
      <c r="F452" s="5">
        <v>5</v>
      </c>
      <c r="G452" s="5">
        <v>0</v>
      </c>
      <c r="H452" s="5">
        <v>4.4000000000000004</v>
      </c>
      <c r="I452" s="5">
        <v>0.8</v>
      </c>
      <c r="J452" s="5">
        <v>1.4</v>
      </c>
      <c r="K452" s="6">
        <f>IFERROR(database_24_25!$I452/database_24_25!$J452,0)</f>
        <v>0.57142857142857151</v>
      </c>
      <c r="L452" s="5">
        <v>0</v>
      </c>
      <c r="M452" s="5">
        <v>0.2</v>
      </c>
      <c r="N452" s="6">
        <f>IFERROR(database_24_25!$L452/database_24_25!$M452,0)</f>
        <v>0</v>
      </c>
      <c r="O452" s="5">
        <v>0.8</v>
      </c>
      <c r="P452" s="5">
        <f>database_24_25!$Q452/10</f>
        <v>1.2</v>
      </c>
      <c r="Q452" s="5">
        <v>12</v>
      </c>
      <c r="R452" s="6">
        <f>IFERROR(database_24_25!$O452/database_24_25!$P452,0)</f>
        <v>0.66666666666666674</v>
      </c>
      <c r="S452" s="5">
        <v>0</v>
      </c>
      <c r="T452" s="5">
        <v>0.2</v>
      </c>
      <c r="U452" s="6">
        <f>IFERROR(database_24_25!$S452/database_24_25!$T452,0)</f>
        <v>0</v>
      </c>
      <c r="V452" s="5">
        <v>0</v>
      </c>
      <c r="W452" s="5">
        <v>0.8</v>
      </c>
      <c r="X452" s="5">
        <v>0.8</v>
      </c>
      <c r="Y452" s="5">
        <v>0.6</v>
      </c>
      <c r="Z452" s="5">
        <v>0</v>
      </c>
      <c r="AA452" s="5">
        <v>0.4</v>
      </c>
      <c r="AB452" s="5">
        <v>0.8</v>
      </c>
      <c r="AC452" s="5">
        <v>0.6</v>
      </c>
      <c r="AD452" s="5">
        <v>1.6</v>
      </c>
    </row>
    <row r="453" spans="1:30" x14ac:dyDescent="0.25">
      <c r="A453" s="7">
        <v>4530</v>
      </c>
      <c r="B453" s="7" t="s">
        <v>515</v>
      </c>
      <c r="C453" s="7">
        <v>33</v>
      </c>
      <c r="D453" s="7" t="s">
        <v>43</v>
      </c>
      <c r="E453" s="7" t="s">
        <v>35</v>
      </c>
      <c r="F453" s="7">
        <v>28</v>
      </c>
      <c r="G453" s="7">
        <v>0</v>
      </c>
      <c r="H453" s="7">
        <v>7.9</v>
      </c>
      <c r="I453" s="7">
        <v>0.4</v>
      </c>
      <c r="J453" s="7">
        <v>0.5</v>
      </c>
      <c r="K453" s="6">
        <f>IFERROR(database_24_25!$I453/database_24_25!$J453,0)</f>
        <v>0.8</v>
      </c>
      <c r="L453" s="7">
        <v>0</v>
      </c>
      <c r="M453" s="7">
        <v>0</v>
      </c>
      <c r="N453" s="6">
        <f>IFERROR(database_24_25!$L453/database_24_25!$M453,0)</f>
        <v>0</v>
      </c>
      <c r="O453" s="7">
        <v>0.4</v>
      </c>
      <c r="P453" s="5">
        <f>database_24_25!$Q453/10</f>
        <v>0.5</v>
      </c>
      <c r="Q453" s="7">
        <v>5</v>
      </c>
      <c r="R453" s="6">
        <f>IFERROR(database_24_25!$O453/database_24_25!$P453,0)</f>
        <v>0.8</v>
      </c>
      <c r="S453" s="7">
        <v>0.7</v>
      </c>
      <c r="T453" s="7">
        <v>1</v>
      </c>
      <c r="U453" s="6">
        <f>IFERROR(database_24_25!$S453/database_24_25!$T453,0)</f>
        <v>0.7</v>
      </c>
      <c r="V453" s="7">
        <v>0.6</v>
      </c>
      <c r="W453" s="7">
        <v>1.2</v>
      </c>
      <c r="X453" s="7">
        <v>1.8</v>
      </c>
      <c r="Y453" s="7">
        <v>0.7</v>
      </c>
      <c r="Z453" s="7">
        <v>0.4</v>
      </c>
      <c r="AA453" s="7">
        <v>0.5</v>
      </c>
      <c r="AB453" s="7">
        <v>0.2</v>
      </c>
      <c r="AC453" s="7">
        <v>1.2</v>
      </c>
      <c r="AD453" s="7">
        <v>1.6</v>
      </c>
    </row>
    <row r="454" spans="1:30" x14ac:dyDescent="0.25">
      <c r="A454" s="7">
        <v>4490</v>
      </c>
      <c r="B454" s="7" t="s">
        <v>511</v>
      </c>
      <c r="C454" s="7">
        <v>21</v>
      </c>
      <c r="D454" s="7" t="s">
        <v>43</v>
      </c>
      <c r="E454" s="7" t="s">
        <v>32</v>
      </c>
      <c r="F454" s="7">
        <v>15</v>
      </c>
      <c r="G454" s="7">
        <v>0</v>
      </c>
      <c r="H454" s="7">
        <v>3.7</v>
      </c>
      <c r="I454" s="7">
        <v>0.6</v>
      </c>
      <c r="J454" s="7">
        <v>1.5</v>
      </c>
      <c r="K454" s="6">
        <f>IFERROR(database_24_25!$I454/database_24_25!$J454,0)</f>
        <v>0.39999999999999997</v>
      </c>
      <c r="L454" s="7">
        <v>0.3</v>
      </c>
      <c r="M454" s="7">
        <v>0.7</v>
      </c>
      <c r="N454" s="6">
        <f>IFERROR(database_24_25!$L454/database_24_25!$M454,0)</f>
        <v>0.4285714285714286</v>
      </c>
      <c r="O454" s="7">
        <v>0.3</v>
      </c>
      <c r="P454" s="5">
        <f>database_24_25!$Q454/10</f>
        <v>0.8</v>
      </c>
      <c r="Q454" s="7">
        <v>8</v>
      </c>
      <c r="R454" s="6">
        <f>IFERROR(database_24_25!$O454/database_24_25!$P454,0)</f>
        <v>0.37499999999999994</v>
      </c>
      <c r="S454" s="7">
        <v>0.1</v>
      </c>
      <c r="T454" s="7">
        <v>0.3</v>
      </c>
      <c r="U454" s="6">
        <f>IFERROR(database_24_25!$S454/database_24_25!$T454,0)</f>
        <v>0.33333333333333337</v>
      </c>
      <c r="V454" s="7">
        <v>0.1</v>
      </c>
      <c r="W454" s="7">
        <v>0.3</v>
      </c>
      <c r="X454" s="7">
        <v>0.3</v>
      </c>
      <c r="Y454" s="7">
        <v>0.4</v>
      </c>
      <c r="Z454" s="7">
        <v>0.1</v>
      </c>
      <c r="AA454" s="7">
        <v>0.1</v>
      </c>
      <c r="AB454" s="7">
        <v>0.3</v>
      </c>
      <c r="AC454" s="7">
        <v>0.6</v>
      </c>
      <c r="AD454" s="7">
        <v>1.6</v>
      </c>
    </row>
    <row r="455" spans="1:30" x14ac:dyDescent="0.25">
      <c r="A455" s="5">
        <v>4540</v>
      </c>
      <c r="B455" s="5" t="s">
        <v>516</v>
      </c>
      <c r="C455" s="5">
        <v>21</v>
      </c>
      <c r="D455" s="5" t="s">
        <v>53</v>
      </c>
      <c r="E455" s="5" t="s">
        <v>35</v>
      </c>
      <c r="F455" s="5">
        <v>17</v>
      </c>
      <c r="G455" s="5">
        <v>0</v>
      </c>
      <c r="H455" s="5">
        <v>6.8</v>
      </c>
      <c r="I455" s="5">
        <v>0.5</v>
      </c>
      <c r="J455" s="5">
        <v>0.9</v>
      </c>
      <c r="K455" s="6">
        <f>IFERROR(database_24_25!$I455/database_24_25!$J455,0)</f>
        <v>0.55555555555555558</v>
      </c>
      <c r="L455" s="5">
        <v>0</v>
      </c>
      <c r="M455" s="5">
        <v>0</v>
      </c>
      <c r="N455" s="6">
        <f>IFERROR(database_24_25!$L455/database_24_25!$M455,0)</f>
        <v>0</v>
      </c>
      <c r="O455" s="5">
        <v>0.5</v>
      </c>
      <c r="P455" s="5">
        <f>database_24_25!$Q455/10</f>
        <v>0.9</v>
      </c>
      <c r="Q455" s="5">
        <v>9</v>
      </c>
      <c r="R455" s="6">
        <f>IFERROR(database_24_25!$O455/database_24_25!$P455,0)</f>
        <v>0.55555555555555558</v>
      </c>
      <c r="S455" s="5">
        <v>0.5</v>
      </c>
      <c r="T455" s="5">
        <v>0.5</v>
      </c>
      <c r="U455" s="6">
        <f>IFERROR(database_24_25!$S455/database_24_25!$T455,0)</f>
        <v>1</v>
      </c>
      <c r="V455" s="5">
        <v>0.5</v>
      </c>
      <c r="W455" s="5">
        <v>1.2</v>
      </c>
      <c r="X455" s="5">
        <v>1.8</v>
      </c>
      <c r="Y455" s="5">
        <v>0.1</v>
      </c>
      <c r="Z455" s="5">
        <v>0.1</v>
      </c>
      <c r="AA455" s="5">
        <v>0.5</v>
      </c>
      <c r="AB455" s="5">
        <v>0.4</v>
      </c>
      <c r="AC455" s="5">
        <v>1.2</v>
      </c>
      <c r="AD455" s="5">
        <v>1.5</v>
      </c>
    </row>
    <row r="456" spans="1:30" x14ac:dyDescent="0.25">
      <c r="A456" s="7">
        <v>4560</v>
      </c>
      <c r="B456" s="7" t="s">
        <v>518</v>
      </c>
      <c r="C456" s="7">
        <v>27</v>
      </c>
      <c r="D456" s="7" t="s">
        <v>55</v>
      </c>
      <c r="E456" s="7" t="s">
        <v>65</v>
      </c>
      <c r="F456" s="7">
        <v>10</v>
      </c>
      <c r="G456" s="7">
        <v>0</v>
      </c>
      <c r="H456" s="7">
        <v>4.5999999999999996</v>
      </c>
      <c r="I456" s="7">
        <v>0.6</v>
      </c>
      <c r="J456" s="7">
        <v>2.1</v>
      </c>
      <c r="K456" s="6">
        <f>IFERROR(database_24_25!$I456/database_24_25!$J456,0)</f>
        <v>0.2857142857142857</v>
      </c>
      <c r="L456" s="7">
        <v>0.3</v>
      </c>
      <c r="M456" s="7">
        <v>1.4</v>
      </c>
      <c r="N456" s="6">
        <f>IFERROR(database_24_25!$L456/database_24_25!$M456,0)</f>
        <v>0.2142857142857143</v>
      </c>
      <c r="O456" s="7">
        <v>0.3</v>
      </c>
      <c r="P456" s="5">
        <f>database_24_25!$Q456/10</f>
        <v>0.7</v>
      </c>
      <c r="Q456" s="7">
        <v>7</v>
      </c>
      <c r="R456" s="6">
        <f>IFERROR(database_24_25!$O456/database_24_25!$P456,0)</f>
        <v>0.4285714285714286</v>
      </c>
      <c r="S456" s="7">
        <v>0</v>
      </c>
      <c r="T456" s="7">
        <v>0</v>
      </c>
      <c r="U456" s="6">
        <f>IFERROR(database_24_25!$S456/database_24_25!$T456,0)</f>
        <v>0</v>
      </c>
      <c r="V456" s="7">
        <v>0</v>
      </c>
      <c r="W456" s="7">
        <v>0.2</v>
      </c>
      <c r="X456" s="7">
        <v>0.2</v>
      </c>
      <c r="Y456" s="7">
        <v>0</v>
      </c>
      <c r="Z456" s="7">
        <v>0.1</v>
      </c>
      <c r="AA456" s="7">
        <v>0</v>
      </c>
      <c r="AB456" s="7">
        <v>0.3</v>
      </c>
      <c r="AC456" s="7">
        <v>0</v>
      </c>
      <c r="AD456" s="7">
        <v>1.5</v>
      </c>
    </row>
    <row r="457" spans="1:30" x14ac:dyDescent="0.25">
      <c r="A457" s="5">
        <v>4570</v>
      </c>
      <c r="B457" s="5" t="s">
        <v>519</v>
      </c>
      <c r="C457" s="5">
        <v>24</v>
      </c>
      <c r="D457" s="5" t="s">
        <v>63</v>
      </c>
      <c r="E457" s="5" t="s">
        <v>58</v>
      </c>
      <c r="F457" s="5">
        <v>10</v>
      </c>
      <c r="G457" s="5">
        <v>0</v>
      </c>
      <c r="H457" s="5">
        <v>4.5</v>
      </c>
      <c r="I457" s="5">
        <v>0.7</v>
      </c>
      <c r="J457" s="5">
        <v>1.3</v>
      </c>
      <c r="K457" s="6">
        <f>IFERROR(database_24_25!$I457/database_24_25!$J457,0)</f>
        <v>0.53846153846153844</v>
      </c>
      <c r="L457" s="5">
        <v>0.1</v>
      </c>
      <c r="M457" s="5">
        <v>0.3</v>
      </c>
      <c r="N457" s="6">
        <f>IFERROR(database_24_25!$L457/database_24_25!$M457,0)</f>
        <v>0.33333333333333337</v>
      </c>
      <c r="O457" s="5">
        <v>0.6</v>
      </c>
      <c r="P457" s="5">
        <f>database_24_25!$Q457/10</f>
        <v>1</v>
      </c>
      <c r="Q457" s="5">
        <v>10</v>
      </c>
      <c r="R457" s="6">
        <f>IFERROR(database_24_25!$O457/database_24_25!$P457,0)</f>
        <v>0.6</v>
      </c>
      <c r="S457" s="5">
        <v>0</v>
      </c>
      <c r="T457" s="5">
        <v>0</v>
      </c>
      <c r="U457" s="6">
        <f>IFERROR(database_24_25!$S457/database_24_25!$T457,0)</f>
        <v>0</v>
      </c>
      <c r="V457" s="5">
        <v>0</v>
      </c>
      <c r="W457" s="5">
        <v>0.2</v>
      </c>
      <c r="X457" s="5">
        <v>0.2</v>
      </c>
      <c r="Y457" s="5">
        <v>0.5</v>
      </c>
      <c r="Z457" s="5">
        <v>0.2</v>
      </c>
      <c r="AA457" s="5">
        <v>0.1</v>
      </c>
      <c r="AB457" s="5">
        <v>0.3</v>
      </c>
      <c r="AC457" s="5">
        <v>0.1</v>
      </c>
      <c r="AD457" s="5">
        <v>1.5</v>
      </c>
    </row>
    <row r="458" spans="1:30" x14ac:dyDescent="0.25">
      <c r="A458" s="7">
        <v>4580</v>
      </c>
      <c r="B458" s="7" t="s">
        <v>520</v>
      </c>
      <c r="C458" s="7">
        <v>22</v>
      </c>
      <c r="D458" s="7" t="s">
        <v>51</v>
      </c>
      <c r="E458" s="7" t="s">
        <v>65</v>
      </c>
      <c r="F458" s="7">
        <v>8</v>
      </c>
      <c r="G458" s="7">
        <v>0</v>
      </c>
      <c r="H458" s="7">
        <v>7.6</v>
      </c>
      <c r="I458" s="7">
        <v>0.6</v>
      </c>
      <c r="J458" s="7">
        <v>2.2999999999999998</v>
      </c>
      <c r="K458" s="6">
        <f>IFERROR(database_24_25!$I458/database_24_25!$J458,0)</f>
        <v>0.2608695652173913</v>
      </c>
      <c r="L458" s="7">
        <v>0</v>
      </c>
      <c r="M458" s="7">
        <v>0.9</v>
      </c>
      <c r="N458" s="6">
        <f>IFERROR(database_24_25!$L458/database_24_25!$M458,0)</f>
        <v>0</v>
      </c>
      <c r="O458" s="7">
        <v>0.6</v>
      </c>
      <c r="P458" s="5">
        <f>database_24_25!$Q458/10</f>
        <v>1.4</v>
      </c>
      <c r="Q458" s="7">
        <v>14</v>
      </c>
      <c r="R458" s="6">
        <f>IFERROR(database_24_25!$O458/database_24_25!$P458,0)</f>
        <v>0.4285714285714286</v>
      </c>
      <c r="S458" s="7">
        <v>0.3</v>
      </c>
      <c r="T458" s="7">
        <v>0.9</v>
      </c>
      <c r="U458" s="6">
        <f>IFERROR(database_24_25!$S458/database_24_25!$T458,0)</f>
        <v>0.33333333333333331</v>
      </c>
      <c r="V458" s="7">
        <v>0.1</v>
      </c>
      <c r="W458" s="7">
        <v>1.6</v>
      </c>
      <c r="X458" s="7">
        <v>1.8</v>
      </c>
      <c r="Y458" s="7">
        <v>0.1</v>
      </c>
      <c r="Z458" s="7">
        <v>0.5</v>
      </c>
      <c r="AA458" s="7">
        <v>0.3</v>
      </c>
      <c r="AB458" s="7">
        <v>0.3</v>
      </c>
      <c r="AC458" s="7">
        <v>0.8</v>
      </c>
      <c r="AD458" s="7">
        <v>1.5</v>
      </c>
    </row>
    <row r="459" spans="1:30" x14ac:dyDescent="0.25">
      <c r="A459" s="5">
        <v>4550</v>
      </c>
      <c r="B459" s="5" t="s">
        <v>517</v>
      </c>
      <c r="C459" s="5">
        <v>24</v>
      </c>
      <c r="D459" s="5" t="s">
        <v>108</v>
      </c>
      <c r="E459" s="5" t="s">
        <v>27</v>
      </c>
      <c r="F459" s="5">
        <v>17</v>
      </c>
      <c r="G459" s="5">
        <v>1</v>
      </c>
      <c r="H459" s="5">
        <v>7</v>
      </c>
      <c r="I459" s="5">
        <v>0.6</v>
      </c>
      <c r="J459" s="5">
        <v>1.3</v>
      </c>
      <c r="K459" s="6">
        <f>IFERROR(database_24_25!$I459/database_24_25!$J459,0)</f>
        <v>0.46153846153846151</v>
      </c>
      <c r="L459" s="5">
        <v>0.1</v>
      </c>
      <c r="M459" s="5">
        <v>0.4</v>
      </c>
      <c r="N459" s="6">
        <f>IFERROR(database_24_25!$L459/database_24_25!$M459,0)</f>
        <v>0.25</v>
      </c>
      <c r="O459" s="5">
        <v>0.5</v>
      </c>
      <c r="P459" s="5">
        <f>database_24_25!$Q459/10</f>
        <v>0.9</v>
      </c>
      <c r="Q459" s="5">
        <v>9</v>
      </c>
      <c r="R459" s="6">
        <f>IFERROR(database_24_25!$O459/database_24_25!$P459,0)</f>
        <v>0.55555555555555558</v>
      </c>
      <c r="S459" s="5">
        <v>0.3</v>
      </c>
      <c r="T459" s="5">
        <v>0.5</v>
      </c>
      <c r="U459" s="6">
        <f>IFERROR(database_24_25!$S459/database_24_25!$T459,0)</f>
        <v>0.6</v>
      </c>
      <c r="V459" s="5">
        <v>0.2</v>
      </c>
      <c r="W459" s="5">
        <v>0.6</v>
      </c>
      <c r="X459" s="5">
        <v>0.8</v>
      </c>
      <c r="Y459" s="5">
        <v>0.4</v>
      </c>
      <c r="Z459" s="5">
        <v>0.1</v>
      </c>
      <c r="AA459" s="5">
        <v>0.1</v>
      </c>
      <c r="AB459" s="5">
        <v>0.2</v>
      </c>
      <c r="AC459" s="5">
        <v>0.9</v>
      </c>
      <c r="AD459" s="5">
        <v>1.5</v>
      </c>
    </row>
    <row r="460" spans="1:30" x14ac:dyDescent="0.25">
      <c r="A460" s="7">
        <v>4600</v>
      </c>
      <c r="B460" s="7" t="s">
        <v>522</v>
      </c>
      <c r="C460" s="7">
        <v>25</v>
      </c>
      <c r="D460" s="7" t="s">
        <v>31</v>
      </c>
      <c r="E460" s="7" t="s">
        <v>58</v>
      </c>
      <c r="F460" s="7">
        <v>11</v>
      </c>
      <c r="G460" s="7">
        <v>0</v>
      </c>
      <c r="H460" s="7">
        <v>3.6</v>
      </c>
      <c r="I460" s="7">
        <v>0.5</v>
      </c>
      <c r="J460" s="7">
        <v>1.8</v>
      </c>
      <c r="K460" s="6">
        <f>IFERROR(database_24_25!$I460/database_24_25!$J460,0)</f>
        <v>0.27777777777777779</v>
      </c>
      <c r="L460" s="7">
        <v>0.5</v>
      </c>
      <c r="M460" s="7">
        <v>1.7</v>
      </c>
      <c r="N460" s="6">
        <f>IFERROR(database_24_25!$L460/database_24_25!$M460,0)</f>
        <v>0.29411764705882354</v>
      </c>
      <c r="O460" s="7">
        <v>0</v>
      </c>
      <c r="P460" s="5">
        <f>database_24_25!$Q460/10</f>
        <v>0.1</v>
      </c>
      <c r="Q460" s="7">
        <v>1</v>
      </c>
      <c r="R460" s="6">
        <f>IFERROR(database_24_25!$O460/database_24_25!$P460,0)</f>
        <v>0</v>
      </c>
      <c r="S460" s="7">
        <v>0</v>
      </c>
      <c r="T460" s="7">
        <v>0</v>
      </c>
      <c r="U460" s="6">
        <f>IFERROR(database_24_25!$S460/database_24_25!$T460,0)</f>
        <v>0</v>
      </c>
      <c r="V460" s="7">
        <v>0.2</v>
      </c>
      <c r="W460" s="7">
        <v>0.4</v>
      </c>
      <c r="X460" s="7">
        <v>0.5</v>
      </c>
      <c r="Y460" s="7">
        <v>0</v>
      </c>
      <c r="Z460" s="7">
        <v>0.2</v>
      </c>
      <c r="AA460" s="7">
        <v>0</v>
      </c>
      <c r="AB460" s="7">
        <v>0</v>
      </c>
      <c r="AC460" s="7">
        <v>0.4</v>
      </c>
      <c r="AD460" s="7">
        <v>1.4</v>
      </c>
    </row>
    <row r="461" spans="1:30" x14ac:dyDescent="0.25">
      <c r="A461" s="5">
        <v>4610</v>
      </c>
      <c r="B461" s="5" t="s">
        <v>523</v>
      </c>
      <c r="C461" s="5">
        <v>20</v>
      </c>
      <c r="D461" s="5" t="s">
        <v>29</v>
      </c>
      <c r="E461" s="5" t="s">
        <v>58</v>
      </c>
      <c r="F461" s="5">
        <v>5</v>
      </c>
      <c r="G461" s="5">
        <v>0</v>
      </c>
      <c r="H461" s="5">
        <v>2.2000000000000002</v>
      </c>
      <c r="I461" s="5">
        <v>0.6</v>
      </c>
      <c r="J461" s="5">
        <v>1.2</v>
      </c>
      <c r="K461" s="6">
        <f>IFERROR(database_24_25!$I461/database_24_25!$J461,0)</f>
        <v>0.5</v>
      </c>
      <c r="L461" s="5">
        <v>0.2</v>
      </c>
      <c r="M461" s="5">
        <v>0.2</v>
      </c>
      <c r="N461" s="6">
        <f>IFERROR(database_24_25!$L461/database_24_25!$M461,0)</f>
        <v>1</v>
      </c>
      <c r="O461" s="5">
        <v>0.4</v>
      </c>
      <c r="P461" s="5">
        <f>database_24_25!$Q461/10</f>
        <v>1</v>
      </c>
      <c r="Q461" s="5">
        <v>10</v>
      </c>
      <c r="R461" s="6">
        <f>IFERROR(database_24_25!$O461/database_24_25!$P461,0)</f>
        <v>0.4</v>
      </c>
      <c r="S461" s="5">
        <v>0</v>
      </c>
      <c r="T461" s="5">
        <v>0</v>
      </c>
      <c r="U461" s="6">
        <f>IFERROR(database_24_25!$S461/database_24_25!$T461,0)</f>
        <v>0</v>
      </c>
      <c r="V461" s="5">
        <v>0</v>
      </c>
      <c r="W461" s="5">
        <v>0.4</v>
      </c>
      <c r="X461" s="5">
        <v>0.4</v>
      </c>
      <c r="Y461" s="5">
        <v>0.2</v>
      </c>
      <c r="Z461" s="5">
        <v>0</v>
      </c>
      <c r="AA461" s="5">
        <v>0</v>
      </c>
      <c r="AB461" s="5">
        <v>0.4</v>
      </c>
      <c r="AC461" s="5">
        <v>0</v>
      </c>
      <c r="AD461" s="5">
        <v>1.4</v>
      </c>
    </row>
    <row r="462" spans="1:30" x14ac:dyDescent="0.25">
      <c r="A462" s="7">
        <v>4590</v>
      </c>
      <c r="B462" s="7" t="s">
        <v>521</v>
      </c>
      <c r="C462" s="7">
        <v>24</v>
      </c>
      <c r="D462" s="7" t="s">
        <v>88</v>
      </c>
      <c r="E462" s="7" t="s">
        <v>35</v>
      </c>
      <c r="F462" s="7">
        <v>10</v>
      </c>
      <c r="G462" s="7">
        <v>0</v>
      </c>
      <c r="H462" s="7">
        <v>4.5999999999999996</v>
      </c>
      <c r="I462" s="7">
        <v>0.2</v>
      </c>
      <c r="J462" s="7">
        <v>1</v>
      </c>
      <c r="K462" s="6">
        <f>IFERROR(database_24_25!$I462/database_24_25!$J462,0)</f>
        <v>0.2</v>
      </c>
      <c r="L462" s="7">
        <v>0</v>
      </c>
      <c r="M462" s="7">
        <v>0.4</v>
      </c>
      <c r="N462" s="6">
        <f>IFERROR(database_24_25!$L462/database_24_25!$M462,0)</f>
        <v>0</v>
      </c>
      <c r="O462" s="7">
        <v>0.2</v>
      </c>
      <c r="P462" s="5">
        <f>database_24_25!$Q462/10</f>
        <v>0.6</v>
      </c>
      <c r="Q462" s="7">
        <v>6</v>
      </c>
      <c r="R462" s="6">
        <f>IFERROR(database_24_25!$O462/database_24_25!$P462,0)</f>
        <v>0.33333333333333337</v>
      </c>
      <c r="S462" s="7">
        <v>1</v>
      </c>
      <c r="T462" s="7">
        <v>1.1000000000000001</v>
      </c>
      <c r="U462" s="6">
        <f>IFERROR(database_24_25!$S462/database_24_25!$T462,0)</f>
        <v>0.90909090909090906</v>
      </c>
      <c r="V462" s="7">
        <v>0.3</v>
      </c>
      <c r="W462" s="7">
        <v>0.6</v>
      </c>
      <c r="X462" s="7">
        <v>0.9</v>
      </c>
      <c r="Y462" s="7">
        <v>0</v>
      </c>
      <c r="Z462" s="7">
        <v>0.1</v>
      </c>
      <c r="AA462" s="7">
        <v>0.1</v>
      </c>
      <c r="AB462" s="7">
        <v>0.1</v>
      </c>
      <c r="AC462" s="7">
        <v>0.6</v>
      </c>
      <c r="AD462" s="7">
        <v>1.4</v>
      </c>
    </row>
    <row r="463" spans="1:30" x14ac:dyDescent="0.25">
      <c r="A463" s="5">
        <v>4620</v>
      </c>
      <c r="B463" s="5" t="s">
        <v>524</v>
      </c>
      <c r="C463" s="5">
        <v>22</v>
      </c>
      <c r="D463" s="5" t="s">
        <v>41</v>
      </c>
      <c r="E463" s="5" t="s">
        <v>58</v>
      </c>
      <c r="F463" s="5">
        <v>14</v>
      </c>
      <c r="G463" s="5">
        <v>0</v>
      </c>
      <c r="H463" s="5">
        <v>4.5</v>
      </c>
      <c r="I463" s="5">
        <v>0.3</v>
      </c>
      <c r="J463" s="5">
        <v>1</v>
      </c>
      <c r="K463" s="6">
        <f>IFERROR(database_24_25!$I463/database_24_25!$J463,0)</f>
        <v>0.3</v>
      </c>
      <c r="L463" s="5">
        <v>0</v>
      </c>
      <c r="M463" s="5">
        <v>0.3</v>
      </c>
      <c r="N463" s="6">
        <f>IFERROR(database_24_25!$L463/database_24_25!$M463,0)</f>
        <v>0</v>
      </c>
      <c r="O463" s="5">
        <v>0.3</v>
      </c>
      <c r="P463" s="5">
        <f>database_24_25!$Q463/10</f>
        <v>0.7</v>
      </c>
      <c r="Q463" s="5">
        <v>7</v>
      </c>
      <c r="R463" s="6">
        <f>IFERROR(database_24_25!$O463/database_24_25!$P463,0)</f>
        <v>0.4285714285714286</v>
      </c>
      <c r="S463" s="5">
        <v>0.9</v>
      </c>
      <c r="T463" s="5">
        <v>1.1000000000000001</v>
      </c>
      <c r="U463" s="6">
        <f>IFERROR(database_24_25!$S463/database_24_25!$T463,0)</f>
        <v>0.81818181818181812</v>
      </c>
      <c r="V463" s="5">
        <v>0.3</v>
      </c>
      <c r="W463" s="5">
        <v>0.7</v>
      </c>
      <c r="X463" s="5">
        <v>1</v>
      </c>
      <c r="Y463" s="5">
        <v>0.4</v>
      </c>
      <c r="Z463" s="5">
        <v>0.3</v>
      </c>
      <c r="AA463" s="5">
        <v>0</v>
      </c>
      <c r="AB463" s="5">
        <v>0.1</v>
      </c>
      <c r="AC463" s="5">
        <v>0.6</v>
      </c>
      <c r="AD463" s="5">
        <v>1.4</v>
      </c>
    </row>
    <row r="464" spans="1:30" x14ac:dyDescent="0.25">
      <c r="A464" s="7">
        <v>4630</v>
      </c>
      <c r="B464" s="7" t="s">
        <v>525</v>
      </c>
      <c r="C464" s="7">
        <v>28</v>
      </c>
      <c r="D464" s="7" t="s">
        <v>110</v>
      </c>
      <c r="E464" s="7" t="s">
        <v>27</v>
      </c>
      <c r="F464" s="7">
        <v>6</v>
      </c>
      <c r="G464" s="7">
        <v>0</v>
      </c>
      <c r="H464" s="7">
        <v>3.5</v>
      </c>
      <c r="I464" s="7">
        <v>0.5</v>
      </c>
      <c r="J464" s="7">
        <v>1.8</v>
      </c>
      <c r="K464" s="6">
        <f>IFERROR(database_24_25!$I464/database_24_25!$J464,0)</f>
        <v>0.27777777777777779</v>
      </c>
      <c r="L464" s="7">
        <v>0.3</v>
      </c>
      <c r="M464" s="7">
        <v>1.3</v>
      </c>
      <c r="N464" s="6">
        <f>IFERROR(database_24_25!$L464/database_24_25!$M464,0)</f>
        <v>0.23076923076923075</v>
      </c>
      <c r="O464" s="7">
        <v>0.2</v>
      </c>
      <c r="P464" s="5">
        <f>database_24_25!$Q464/10</f>
        <v>0.5</v>
      </c>
      <c r="Q464" s="7">
        <v>5</v>
      </c>
      <c r="R464" s="6">
        <f>IFERROR(database_24_25!$O464/database_24_25!$P464,0)</f>
        <v>0.4</v>
      </c>
      <c r="S464" s="7">
        <v>0</v>
      </c>
      <c r="T464" s="7">
        <v>0</v>
      </c>
      <c r="U464" s="6">
        <f>IFERROR(database_24_25!$S464/database_24_25!$T464,0)</f>
        <v>0</v>
      </c>
      <c r="V464" s="7">
        <v>0.2</v>
      </c>
      <c r="W464" s="7">
        <v>0.5</v>
      </c>
      <c r="X464" s="7">
        <v>0.7</v>
      </c>
      <c r="Y464" s="7">
        <v>0.2</v>
      </c>
      <c r="Z464" s="7">
        <v>0</v>
      </c>
      <c r="AA464" s="7">
        <v>0.2</v>
      </c>
      <c r="AB464" s="7">
        <v>0.2</v>
      </c>
      <c r="AC464" s="7">
        <v>0.2</v>
      </c>
      <c r="AD464" s="7">
        <v>1.3</v>
      </c>
    </row>
    <row r="465" spans="1:30" x14ac:dyDescent="0.25">
      <c r="A465" s="7">
        <v>4640</v>
      </c>
      <c r="B465" s="7" t="s">
        <v>526</v>
      </c>
      <c r="C465" s="7">
        <v>28</v>
      </c>
      <c r="D465" s="7" t="s">
        <v>86</v>
      </c>
      <c r="E465" s="7" t="s">
        <v>32</v>
      </c>
      <c r="F465" s="7">
        <v>11</v>
      </c>
      <c r="G465" s="7">
        <v>0</v>
      </c>
      <c r="H465" s="7">
        <v>5.2</v>
      </c>
      <c r="I465" s="7">
        <v>0.5</v>
      </c>
      <c r="J465" s="7">
        <v>1.6</v>
      </c>
      <c r="K465" s="6">
        <f>IFERROR(database_24_25!$I465/database_24_25!$J465,0)</f>
        <v>0.3125</v>
      </c>
      <c r="L465" s="7">
        <v>0</v>
      </c>
      <c r="M465" s="7">
        <v>0.3</v>
      </c>
      <c r="N465" s="6">
        <f>IFERROR(database_24_25!$L465/database_24_25!$M465,0)</f>
        <v>0</v>
      </c>
      <c r="O465" s="7">
        <v>0.5</v>
      </c>
      <c r="P465" s="5">
        <f>database_24_25!$Q465/10</f>
        <v>1.4</v>
      </c>
      <c r="Q465" s="7">
        <v>14</v>
      </c>
      <c r="R465" s="6">
        <f>IFERROR(database_24_25!$O465/database_24_25!$P465,0)</f>
        <v>0.35714285714285715</v>
      </c>
      <c r="S465" s="7">
        <v>0.2</v>
      </c>
      <c r="T465" s="7">
        <v>0.2</v>
      </c>
      <c r="U465" s="6">
        <f>IFERROR(database_24_25!$S465/database_24_25!$T465,0)</f>
        <v>1</v>
      </c>
      <c r="V465" s="7">
        <v>0.4</v>
      </c>
      <c r="W465" s="7">
        <v>0.7</v>
      </c>
      <c r="X465" s="7">
        <v>1.1000000000000001</v>
      </c>
      <c r="Y465" s="7">
        <v>1.5</v>
      </c>
      <c r="Z465" s="7">
        <v>0.5</v>
      </c>
      <c r="AA465" s="7">
        <v>0</v>
      </c>
      <c r="AB465" s="7">
        <v>0.4</v>
      </c>
      <c r="AC465" s="7">
        <v>0.4</v>
      </c>
      <c r="AD465" s="7">
        <v>1.3</v>
      </c>
    </row>
    <row r="466" spans="1:30" x14ac:dyDescent="0.25">
      <c r="A466" s="5">
        <v>4650</v>
      </c>
      <c r="B466" s="5" t="s">
        <v>527</v>
      </c>
      <c r="C466" s="5">
        <v>23</v>
      </c>
      <c r="D466" s="5" t="s">
        <v>79</v>
      </c>
      <c r="E466" s="5" t="s">
        <v>58</v>
      </c>
      <c r="F466" s="5">
        <v>6</v>
      </c>
      <c r="G466" s="5">
        <v>0</v>
      </c>
      <c r="H466" s="5">
        <v>7</v>
      </c>
      <c r="I466" s="5">
        <v>0.5</v>
      </c>
      <c r="J466" s="5">
        <v>1.2</v>
      </c>
      <c r="K466" s="6">
        <f>IFERROR(database_24_25!$I466/database_24_25!$J466,0)</f>
        <v>0.41666666666666669</v>
      </c>
      <c r="L466" s="5">
        <v>0</v>
      </c>
      <c r="M466" s="5">
        <v>0.5</v>
      </c>
      <c r="N466" s="6">
        <f>IFERROR(database_24_25!$L466/database_24_25!$M466,0)</f>
        <v>0</v>
      </c>
      <c r="O466" s="5">
        <v>0.5</v>
      </c>
      <c r="P466" s="5">
        <f>database_24_25!$Q466/10</f>
        <v>0.7</v>
      </c>
      <c r="Q466" s="5">
        <v>7</v>
      </c>
      <c r="R466" s="6">
        <f>IFERROR(database_24_25!$O466/database_24_25!$P466,0)</f>
        <v>0.7142857142857143</v>
      </c>
      <c r="S466" s="5">
        <v>0.3</v>
      </c>
      <c r="T466" s="5">
        <v>0.3</v>
      </c>
      <c r="U466" s="6">
        <f>IFERROR(database_24_25!$S466/database_24_25!$T466,0)</f>
        <v>1</v>
      </c>
      <c r="V466" s="5">
        <v>0.2</v>
      </c>
      <c r="W466" s="5">
        <v>0.8</v>
      </c>
      <c r="X466" s="5">
        <v>1</v>
      </c>
      <c r="Y466" s="5">
        <v>0.8</v>
      </c>
      <c r="Z466" s="5">
        <v>0.2</v>
      </c>
      <c r="AA466" s="5">
        <v>0.2</v>
      </c>
      <c r="AB466" s="5">
        <v>0.3</v>
      </c>
      <c r="AC466" s="5">
        <v>0.5</v>
      </c>
      <c r="AD466" s="5">
        <v>1.3</v>
      </c>
    </row>
    <row r="467" spans="1:30" x14ac:dyDescent="0.25">
      <c r="A467" s="7">
        <v>4660</v>
      </c>
      <c r="B467" s="7" t="s">
        <v>528</v>
      </c>
      <c r="C467" s="7">
        <v>20</v>
      </c>
      <c r="D467" s="7" t="s">
        <v>49</v>
      </c>
      <c r="E467" s="7" t="s">
        <v>65</v>
      </c>
      <c r="F467" s="7">
        <v>13</v>
      </c>
      <c r="G467" s="7">
        <v>0</v>
      </c>
      <c r="H467" s="7">
        <v>3.2</v>
      </c>
      <c r="I467" s="7">
        <v>0.5</v>
      </c>
      <c r="J467" s="7">
        <v>1</v>
      </c>
      <c r="K467" s="6">
        <f>IFERROR(database_24_25!$I467/database_24_25!$J467,0)</f>
        <v>0.5</v>
      </c>
      <c r="L467" s="7">
        <v>0.2</v>
      </c>
      <c r="M467" s="7">
        <v>0.5</v>
      </c>
      <c r="N467" s="6">
        <f>IFERROR(database_24_25!$L467/database_24_25!$M467,0)</f>
        <v>0.4</v>
      </c>
      <c r="O467" s="7">
        <v>0.2</v>
      </c>
      <c r="P467" s="5">
        <f>database_24_25!$Q467/10</f>
        <v>0.5</v>
      </c>
      <c r="Q467" s="7">
        <v>5</v>
      </c>
      <c r="R467" s="6">
        <f>IFERROR(database_24_25!$O467/database_24_25!$P467,0)</f>
        <v>0.4</v>
      </c>
      <c r="S467" s="7">
        <v>0</v>
      </c>
      <c r="T467" s="7">
        <v>0.3</v>
      </c>
      <c r="U467" s="6">
        <f>IFERROR(database_24_25!$S467/database_24_25!$T467,0)</f>
        <v>0</v>
      </c>
      <c r="V467" s="7">
        <v>0.2</v>
      </c>
      <c r="W467" s="7">
        <v>0.5</v>
      </c>
      <c r="X467" s="7">
        <v>0.6</v>
      </c>
      <c r="Y467" s="7">
        <v>0.5</v>
      </c>
      <c r="Z467" s="7">
        <v>0</v>
      </c>
      <c r="AA467" s="7">
        <v>0</v>
      </c>
      <c r="AB467" s="7">
        <v>0.1</v>
      </c>
      <c r="AC467" s="7">
        <v>0.4</v>
      </c>
      <c r="AD467" s="7">
        <v>1.2</v>
      </c>
    </row>
    <row r="468" spans="1:30" x14ac:dyDescent="0.25">
      <c r="A468" s="5">
        <v>4680</v>
      </c>
      <c r="B468" s="5" t="s">
        <v>530</v>
      </c>
      <c r="C468" s="5">
        <v>24</v>
      </c>
      <c r="D468" s="5" t="s">
        <v>34</v>
      </c>
      <c r="E468" s="5" t="s">
        <v>27</v>
      </c>
      <c r="F468" s="5">
        <v>19</v>
      </c>
      <c r="G468" s="5">
        <v>0</v>
      </c>
      <c r="H468" s="5">
        <v>4.5999999999999996</v>
      </c>
      <c r="I468" s="5">
        <v>0.6</v>
      </c>
      <c r="J468" s="5">
        <v>1.4</v>
      </c>
      <c r="K468" s="6">
        <f>IFERROR(database_24_25!$I468/database_24_25!$J468,0)</f>
        <v>0.4285714285714286</v>
      </c>
      <c r="L468" s="5">
        <v>0</v>
      </c>
      <c r="M468" s="5">
        <v>0.5</v>
      </c>
      <c r="N468" s="6">
        <f>IFERROR(database_24_25!$L468/database_24_25!$M468,0)</f>
        <v>0</v>
      </c>
      <c r="O468" s="5">
        <v>0.6</v>
      </c>
      <c r="P468" s="5">
        <f>database_24_25!$Q468/10</f>
        <v>0.9</v>
      </c>
      <c r="Q468" s="5">
        <v>9</v>
      </c>
      <c r="R468" s="6">
        <f>IFERROR(database_24_25!$O468/database_24_25!$P468,0)</f>
        <v>0.66666666666666663</v>
      </c>
      <c r="S468" s="5">
        <v>0.1</v>
      </c>
      <c r="T468" s="5">
        <v>0.3</v>
      </c>
      <c r="U468" s="6">
        <f>IFERROR(database_24_25!$S468/database_24_25!$T468,0)</f>
        <v>0.33333333333333337</v>
      </c>
      <c r="V468" s="5">
        <v>0.1</v>
      </c>
      <c r="W468" s="5">
        <v>0.3</v>
      </c>
      <c r="X468" s="5">
        <v>0.4</v>
      </c>
      <c r="Y468" s="5">
        <v>0.2</v>
      </c>
      <c r="Z468" s="5">
        <v>0.1</v>
      </c>
      <c r="AA468" s="5">
        <v>0.1</v>
      </c>
      <c r="AB468" s="5">
        <v>0.1</v>
      </c>
      <c r="AC468" s="5">
        <v>0.4</v>
      </c>
      <c r="AD468" s="5">
        <v>1.2</v>
      </c>
    </row>
    <row r="469" spans="1:30" x14ac:dyDescent="0.25">
      <c r="A469" s="5">
        <v>4670</v>
      </c>
      <c r="B469" s="5" t="s">
        <v>529</v>
      </c>
      <c r="C469" s="5">
        <v>22</v>
      </c>
      <c r="D469" s="5" t="s">
        <v>41</v>
      </c>
      <c r="E469" s="5" t="s">
        <v>32</v>
      </c>
      <c r="F469" s="5">
        <v>5</v>
      </c>
      <c r="G469" s="5">
        <v>0</v>
      </c>
      <c r="H469" s="5">
        <v>4.8</v>
      </c>
      <c r="I469" s="5">
        <v>0.4</v>
      </c>
      <c r="J469" s="5">
        <v>1</v>
      </c>
      <c r="K469" s="6">
        <f>IFERROR(database_24_25!$I469/database_24_25!$J469,0)</f>
        <v>0.4</v>
      </c>
      <c r="L469" s="5">
        <v>0.2</v>
      </c>
      <c r="M469" s="5">
        <v>0.6</v>
      </c>
      <c r="N469" s="6">
        <f>IFERROR(database_24_25!$L469/database_24_25!$M469,0)</f>
        <v>0.33333333333333337</v>
      </c>
      <c r="O469" s="5">
        <v>0.2</v>
      </c>
      <c r="P469" s="5">
        <f>database_24_25!$Q469/10</f>
        <v>0.4</v>
      </c>
      <c r="Q469" s="5">
        <v>4</v>
      </c>
      <c r="R469" s="6">
        <f>IFERROR(database_24_25!$O469/database_24_25!$P469,0)</f>
        <v>0.5</v>
      </c>
      <c r="S469" s="5">
        <v>0.2</v>
      </c>
      <c r="T469" s="5">
        <v>0.4</v>
      </c>
      <c r="U469" s="6">
        <f>IFERROR(database_24_25!$S469/database_24_25!$T469,0)</f>
        <v>0.5</v>
      </c>
      <c r="V469" s="5">
        <v>0</v>
      </c>
      <c r="W469" s="5">
        <v>0.4</v>
      </c>
      <c r="X469" s="5">
        <v>0.4</v>
      </c>
      <c r="Y469" s="5">
        <v>0.2</v>
      </c>
      <c r="Z469" s="5">
        <v>0.2</v>
      </c>
      <c r="AA469" s="5">
        <v>0</v>
      </c>
      <c r="AB469" s="5">
        <v>1.2</v>
      </c>
      <c r="AC469" s="5">
        <v>0.2</v>
      </c>
      <c r="AD469" s="5">
        <v>1.2</v>
      </c>
    </row>
    <row r="470" spans="1:30" x14ac:dyDescent="0.25">
      <c r="A470" s="7">
        <v>4690</v>
      </c>
      <c r="B470" s="7" t="s">
        <v>531</v>
      </c>
      <c r="C470" s="7">
        <v>22</v>
      </c>
      <c r="D470" s="7" t="s">
        <v>47</v>
      </c>
      <c r="E470" s="7" t="s">
        <v>58</v>
      </c>
      <c r="F470" s="7">
        <v>22</v>
      </c>
      <c r="G470" s="7">
        <v>0</v>
      </c>
      <c r="H470" s="7">
        <v>5.4</v>
      </c>
      <c r="I470" s="7">
        <v>0.5</v>
      </c>
      <c r="J470" s="7">
        <v>1.1000000000000001</v>
      </c>
      <c r="K470" s="6">
        <f>IFERROR(database_24_25!$I470/database_24_25!$J470,0)</f>
        <v>0.45454545454545453</v>
      </c>
      <c r="L470" s="7">
        <v>0.2</v>
      </c>
      <c r="M470" s="7">
        <v>0.4</v>
      </c>
      <c r="N470" s="6">
        <f>IFERROR(database_24_25!$L470/database_24_25!$M470,0)</f>
        <v>0.5</v>
      </c>
      <c r="O470" s="7">
        <v>0.3</v>
      </c>
      <c r="P470" s="5">
        <f>database_24_25!$Q470/10</f>
        <v>0.7</v>
      </c>
      <c r="Q470" s="7">
        <v>7</v>
      </c>
      <c r="R470" s="6">
        <f>IFERROR(database_24_25!$O470/database_24_25!$P470,0)</f>
        <v>0.4285714285714286</v>
      </c>
      <c r="S470" s="7">
        <v>0</v>
      </c>
      <c r="T470" s="7">
        <v>0</v>
      </c>
      <c r="U470" s="6">
        <f>IFERROR(database_24_25!$S470/database_24_25!$T470,0)</f>
        <v>0</v>
      </c>
      <c r="V470" s="7">
        <v>0.3</v>
      </c>
      <c r="W470" s="7">
        <v>0.6</v>
      </c>
      <c r="X470" s="7">
        <v>0.9</v>
      </c>
      <c r="Y470" s="7">
        <v>0.2</v>
      </c>
      <c r="Z470" s="7">
        <v>0.2</v>
      </c>
      <c r="AA470" s="7">
        <v>0.2</v>
      </c>
      <c r="AB470" s="7">
        <v>0.3</v>
      </c>
      <c r="AC470" s="7">
        <v>0.6</v>
      </c>
      <c r="AD470" s="7">
        <v>1.1000000000000001</v>
      </c>
    </row>
    <row r="471" spans="1:30" x14ac:dyDescent="0.25">
      <c r="A471" s="5">
        <v>4700</v>
      </c>
      <c r="B471" s="5" t="s">
        <v>532</v>
      </c>
      <c r="C471" s="5">
        <v>26</v>
      </c>
      <c r="D471" s="5" t="s">
        <v>41</v>
      </c>
      <c r="E471" s="5" t="s">
        <v>35</v>
      </c>
      <c r="F471" s="5">
        <v>22</v>
      </c>
      <c r="G471" s="5">
        <v>1</v>
      </c>
      <c r="H471" s="5">
        <v>7.8</v>
      </c>
      <c r="I471" s="5">
        <v>0.5</v>
      </c>
      <c r="J471" s="5">
        <v>1.6</v>
      </c>
      <c r="K471" s="6">
        <f>IFERROR(database_24_25!$I471/database_24_25!$J471,0)</f>
        <v>0.3125</v>
      </c>
      <c r="L471" s="5">
        <v>0.2</v>
      </c>
      <c r="M471" s="5">
        <v>0.9</v>
      </c>
      <c r="N471" s="6">
        <f>IFERROR(database_24_25!$L471/database_24_25!$M471,0)</f>
        <v>0.22222222222222224</v>
      </c>
      <c r="O471" s="5">
        <v>0.3</v>
      </c>
      <c r="P471" s="5">
        <f>database_24_25!$Q471/10</f>
        <v>0.8</v>
      </c>
      <c r="Q471" s="5">
        <v>8</v>
      </c>
      <c r="R471" s="6">
        <f>IFERROR(database_24_25!$O471/database_24_25!$P471,0)</f>
        <v>0.37499999999999994</v>
      </c>
      <c r="S471" s="5">
        <v>0</v>
      </c>
      <c r="T471" s="5">
        <v>0.1</v>
      </c>
      <c r="U471" s="6">
        <f>IFERROR(database_24_25!$S471/database_24_25!$T471,0)</f>
        <v>0</v>
      </c>
      <c r="V471" s="5">
        <v>0.4</v>
      </c>
      <c r="W471" s="5">
        <v>1.2</v>
      </c>
      <c r="X471" s="5">
        <v>1.5</v>
      </c>
      <c r="Y471" s="5">
        <v>0.3</v>
      </c>
      <c r="Z471" s="5">
        <v>0.4</v>
      </c>
      <c r="AA471" s="5">
        <v>0.2</v>
      </c>
      <c r="AB471" s="5">
        <v>0.3</v>
      </c>
      <c r="AC471" s="5">
        <v>0.6</v>
      </c>
      <c r="AD471" s="5">
        <v>1.1000000000000001</v>
      </c>
    </row>
    <row r="472" spans="1:30" x14ac:dyDescent="0.25">
      <c r="A472" s="7">
        <v>4740</v>
      </c>
      <c r="B472" s="7" t="s">
        <v>536</v>
      </c>
      <c r="C472" s="7">
        <v>22</v>
      </c>
      <c r="D472" s="7" t="s">
        <v>124</v>
      </c>
      <c r="E472" s="7" t="s">
        <v>58</v>
      </c>
      <c r="F472" s="7">
        <v>2</v>
      </c>
      <c r="G472" s="7">
        <v>0</v>
      </c>
      <c r="H472" s="7">
        <v>3.5</v>
      </c>
      <c r="I472" s="7">
        <v>0.5</v>
      </c>
      <c r="J472" s="7">
        <v>1</v>
      </c>
      <c r="K472" s="6">
        <f>IFERROR(database_24_25!$I472/database_24_25!$J472,0)</f>
        <v>0.5</v>
      </c>
      <c r="L472" s="7">
        <v>0</v>
      </c>
      <c r="M472" s="7">
        <v>0.5</v>
      </c>
      <c r="N472" s="6">
        <f>IFERROR(database_24_25!$L472/database_24_25!$M472,0)</f>
        <v>0</v>
      </c>
      <c r="O472" s="7">
        <v>0.5</v>
      </c>
      <c r="P472" s="5">
        <f>database_24_25!$Q472/10</f>
        <v>0.5</v>
      </c>
      <c r="Q472" s="7">
        <v>5</v>
      </c>
      <c r="R472" s="6">
        <f>IFERROR(database_24_25!$O472/database_24_25!$P472,0)</f>
        <v>1</v>
      </c>
      <c r="S472" s="7">
        <v>0</v>
      </c>
      <c r="T472" s="7">
        <v>0</v>
      </c>
      <c r="U472" s="6">
        <f>IFERROR(database_24_25!$S472/database_24_25!$T472,0)</f>
        <v>0</v>
      </c>
      <c r="V472" s="7">
        <v>0.5</v>
      </c>
      <c r="W472" s="7">
        <v>0</v>
      </c>
      <c r="X472" s="7">
        <v>0.5</v>
      </c>
      <c r="Y472" s="7">
        <v>0.5</v>
      </c>
      <c r="Z472" s="7">
        <v>0</v>
      </c>
      <c r="AA472" s="7">
        <v>0</v>
      </c>
      <c r="AB472" s="7">
        <v>0</v>
      </c>
      <c r="AC472" s="7">
        <v>0</v>
      </c>
      <c r="AD472" s="7">
        <v>1</v>
      </c>
    </row>
    <row r="473" spans="1:30" x14ac:dyDescent="0.25">
      <c r="A473" s="5">
        <v>4750</v>
      </c>
      <c r="B473" s="5" t="s">
        <v>537</v>
      </c>
      <c r="C473" s="5">
        <v>24</v>
      </c>
      <c r="D473" s="5" t="s">
        <v>86</v>
      </c>
      <c r="E473" s="5" t="s">
        <v>27</v>
      </c>
      <c r="F473" s="5">
        <v>2</v>
      </c>
      <c r="G473" s="5">
        <v>0</v>
      </c>
      <c r="H473" s="5">
        <v>2.5</v>
      </c>
      <c r="I473" s="5">
        <v>0.5</v>
      </c>
      <c r="J473" s="5">
        <v>1.5</v>
      </c>
      <c r="K473" s="6">
        <f>IFERROR(database_24_25!$I473/database_24_25!$J473,0)</f>
        <v>0.33333333333333331</v>
      </c>
      <c r="L473" s="5">
        <v>0</v>
      </c>
      <c r="M473" s="5">
        <v>1</v>
      </c>
      <c r="N473" s="6">
        <f>IFERROR(database_24_25!$L473/database_24_25!$M473,0)</f>
        <v>0</v>
      </c>
      <c r="O473" s="5">
        <v>0.5</v>
      </c>
      <c r="P473" s="5">
        <f>database_24_25!$Q473/10</f>
        <v>0.5</v>
      </c>
      <c r="Q473" s="5">
        <v>5</v>
      </c>
      <c r="R473" s="6">
        <f>IFERROR(database_24_25!$O473/database_24_25!$P473,0)</f>
        <v>1</v>
      </c>
      <c r="S473" s="5">
        <v>0</v>
      </c>
      <c r="T473" s="5">
        <v>0</v>
      </c>
      <c r="U473" s="6">
        <f>IFERROR(database_24_25!$S473/database_24_25!$T473,0)</f>
        <v>0</v>
      </c>
      <c r="V473" s="5">
        <v>0.5</v>
      </c>
      <c r="W473" s="5">
        <v>0</v>
      </c>
      <c r="X473" s="5">
        <v>0.5</v>
      </c>
      <c r="Y473" s="5">
        <v>0.5</v>
      </c>
      <c r="Z473" s="5">
        <v>0</v>
      </c>
      <c r="AA473" s="5">
        <v>0</v>
      </c>
      <c r="AB473" s="5">
        <v>0</v>
      </c>
      <c r="AC473" s="5">
        <v>0</v>
      </c>
      <c r="AD473" s="5">
        <v>1</v>
      </c>
    </row>
    <row r="474" spans="1:30" x14ac:dyDescent="0.25">
      <c r="A474" s="7">
        <v>4760</v>
      </c>
      <c r="B474" s="7" t="s">
        <v>538</v>
      </c>
      <c r="C474" s="7">
        <v>25</v>
      </c>
      <c r="D474" s="7" t="s">
        <v>37</v>
      </c>
      <c r="E474" s="7" t="s">
        <v>58</v>
      </c>
      <c r="F474" s="7">
        <v>4</v>
      </c>
      <c r="G474" s="7">
        <v>0</v>
      </c>
      <c r="H474" s="7">
        <v>3</v>
      </c>
      <c r="I474" s="7">
        <v>0.5</v>
      </c>
      <c r="J474" s="7">
        <v>2</v>
      </c>
      <c r="K474" s="6">
        <f>IFERROR(database_24_25!$I474/database_24_25!$J474,0)</f>
        <v>0.25</v>
      </c>
      <c r="L474" s="7">
        <v>0</v>
      </c>
      <c r="M474" s="7">
        <v>0.5</v>
      </c>
      <c r="N474" s="6">
        <f>IFERROR(database_24_25!$L474/database_24_25!$M474,0)</f>
        <v>0</v>
      </c>
      <c r="O474" s="7">
        <v>0.5</v>
      </c>
      <c r="P474" s="5">
        <f>database_24_25!$Q474/10</f>
        <v>1.5</v>
      </c>
      <c r="Q474" s="7">
        <v>15</v>
      </c>
      <c r="R474" s="6">
        <f>IFERROR(database_24_25!$O474/database_24_25!$P474,0)</f>
        <v>0.33333333333333331</v>
      </c>
      <c r="S474" s="7">
        <v>0</v>
      </c>
      <c r="T474" s="7">
        <v>0</v>
      </c>
      <c r="U474" s="6">
        <f>IFERROR(database_24_25!$S474/database_24_25!$T474,0)</f>
        <v>0</v>
      </c>
      <c r="V474" s="7">
        <v>0.5</v>
      </c>
      <c r="W474" s="7">
        <v>0.5</v>
      </c>
      <c r="X474" s="7">
        <v>1</v>
      </c>
      <c r="Y474" s="7">
        <v>0.5</v>
      </c>
      <c r="Z474" s="7">
        <v>0.3</v>
      </c>
      <c r="AA474" s="7">
        <v>0</v>
      </c>
      <c r="AB474" s="7">
        <v>0.3</v>
      </c>
      <c r="AC474" s="7">
        <v>0.3</v>
      </c>
      <c r="AD474" s="7">
        <v>1</v>
      </c>
    </row>
    <row r="475" spans="1:30" x14ac:dyDescent="0.25">
      <c r="A475" s="5">
        <v>4730</v>
      </c>
      <c r="B475" s="5" t="s">
        <v>535</v>
      </c>
      <c r="C475" s="5">
        <v>21</v>
      </c>
      <c r="D475" s="5" t="s">
        <v>60</v>
      </c>
      <c r="E475" s="5" t="s">
        <v>65</v>
      </c>
      <c r="F475" s="5">
        <v>3</v>
      </c>
      <c r="G475" s="5">
        <v>0</v>
      </c>
      <c r="H475" s="5">
        <v>1.7</v>
      </c>
      <c r="I475" s="5">
        <v>0.3</v>
      </c>
      <c r="J475" s="5">
        <v>0.7</v>
      </c>
      <c r="K475" s="6">
        <f>IFERROR(database_24_25!$I475/database_24_25!$J475,0)</f>
        <v>0.4285714285714286</v>
      </c>
      <c r="L475" s="5">
        <v>0.3</v>
      </c>
      <c r="M475" s="5">
        <v>0.3</v>
      </c>
      <c r="N475" s="6">
        <f>IFERROR(database_24_25!$L475/database_24_25!$M475,0)</f>
        <v>1</v>
      </c>
      <c r="O475" s="5">
        <v>0</v>
      </c>
      <c r="P475" s="5">
        <f>database_24_25!$Q475/10</f>
        <v>0.3</v>
      </c>
      <c r="Q475" s="5">
        <v>3</v>
      </c>
      <c r="R475" s="6">
        <f>IFERROR(database_24_25!$O475/database_24_25!$P475,0)</f>
        <v>0</v>
      </c>
      <c r="S475" s="5">
        <v>0</v>
      </c>
      <c r="T475" s="5">
        <v>0</v>
      </c>
      <c r="U475" s="6">
        <f>IFERROR(database_24_25!$S475/database_24_25!$T475,0)</f>
        <v>0</v>
      </c>
      <c r="V475" s="5">
        <v>0</v>
      </c>
      <c r="W475" s="5">
        <v>0</v>
      </c>
      <c r="X475" s="5">
        <v>0</v>
      </c>
      <c r="Y475" s="5">
        <v>0</v>
      </c>
      <c r="Z475" s="5">
        <v>0</v>
      </c>
      <c r="AA475" s="5">
        <v>0</v>
      </c>
      <c r="AB475" s="5">
        <v>0</v>
      </c>
      <c r="AC475" s="5">
        <v>0.3</v>
      </c>
      <c r="AD475" s="5">
        <v>1</v>
      </c>
    </row>
    <row r="476" spans="1:30" x14ac:dyDescent="0.25">
      <c r="A476" s="7">
        <v>4720</v>
      </c>
      <c r="B476" s="7" t="s">
        <v>534</v>
      </c>
      <c r="C476" s="7">
        <v>22</v>
      </c>
      <c r="D476" s="7" t="s">
        <v>84</v>
      </c>
      <c r="E476" s="7" t="s">
        <v>27</v>
      </c>
      <c r="F476" s="7">
        <v>2</v>
      </c>
      <c r="G476" s="7">
        <v>0</v>
      </c>
      <c r="H476" s="7">
        <v>5.5</v>
      </c>
      <c r="I476" s="7">
        <v>0.5</v>
      </c>
      <c r="J476" s="7">
        <v>2</v>
      </c>
      <c r="K476" s="6">
        <f>IFERROR(database_24_25!$I476/database_24_25!$J476,0)</f>
        <v>0.25</v>
      </c>
      <c r="L476" s="7">
        <v>0</v>
      </c>
      <c r="M476" s="7">
        <v>1</v>
      </c>
      <c r="N476" s="6">
        <f>IFERROR(database_24_25!$L476/database_24_25!$M476,0)</f>
        <v>0</v>
      </c>
      <c r="O476" s="7">
        <v>0.5</v>
      </c>
      <c r="P476" s="5">
        <f>database_24_25!$Q476/10</f>
        <v>1</v>
      </c>
      <c r="Q476" s="7">
        <v>10</v>
      </c>
      <c r="R476" s="6">
        <f>IFERROR(database_24_25!$O476/database_24_25!$P476,0)</f>
        <v>0.5</v>
      </c>
      <c r="S476" s="7">
        <v>0</v>
      </c>
      <c r="T476" s="7">
        <v>0</v>
      </c>
      <c r="U476" s="6">
        <f>IFERROR(database_24_25!$S476/database_24_25!$T476,0)</f>
        <v>0</v>
      </c>
      <c r="V476" s="7">
        <v>0</v>
      </c>
      <c r="W476" s="7">
        <v>1</v>
      </c>
      <c r="X476" s="7">
        <v>1</v>
      </c>
      <c r="Y476" s="7">
        <v>0</v>
      </c>
      <c r="Z476" s="7">
        <v>0</v>
      </c>
      <c r="AA476" s="7">
        <v>0</v>
      </c>
      <c r="AB476" s="7">
        <v>0.5</v>
      </c>
      <c r="AC476" s="7">
        <v>0</v>
      </c>
      <c r="AD476" s="7">
        <v>1</v>
      </c>
    </row>
    <row r="477" spans="1:30" x14ac:dyDescent="0.25">
      <c r="A477" s="5">
        <v>4710</v>
      </c>
      <c r="B477" s="5" t="s">
        <v>533</v>
      </c>
      <c r="C477" s="5">
        <v>21</v>
      </c>
      <c r="D477" s="5" t="s">
        <v>84</v>
      </c>
      <c r="E477" s="5" t="s">
        <v>65</v>
      </c>
      <c r="F477" s="5">
        <v>6</v>
      </c>
      <c r="G477" s="5">
        <v>0</v>
      </c>
      <c r="H477" s="5">
        <v>4.2</v>
      </c>
      <c r="I477" s="5">
        <v>0.3</v>
      </c>
      <c r="J477" s="5">
        <v>1</v>
      </c>
      <c r="K477" s="6">
        <f>IFERROR(database_24_25!$I477/database_24_25!$J477,0)</f>
        <v>0.3</v>
      </c>
      <c r="L477" s="5">
        <v>0.2</v>
      </c>
      <c r="M477" s="5">
        <v>0.2</v>
      </c>
      <c r="N477" s="6">
        <f>IFERROR(database_24_25!$L477/database_24_25!$M477,0)</f>
        <v>1</v>
      </c>
      <c r="O477" s="5">
        <v>0.2</v>
      </c>
      <c r="P477" s="5">
        <f>database_24_25!$Q477/10</f>
        <v>0.8</v>
      </c>
      <c r="Q477" s="5">
        <v>8</v>
      </c>
      <c r="R477" s="6">
        <f>IFERROR(database_24_25!$O477/database_24_25!$P477,0)</f>
        <v>0.25</v>
      </c>
      <c r="S477" s="5">
        <v>0.2</v>
      </c>
      <c r="T477" s="5">
        <v>0.3</v>
      </c>
      <c r="U477" s="6">
        <f>IFERROR(database_24_25!$S477/database_24_25!$T477,0)</f>
        <v>0.66666666666666674</v>
      </c>
      <c r="V477" s="5">
        <v>0</v>
      </c>
      <c r="W477" s="5">
        <v>0.7</v>
      </c>
      <c r="X477" s="5">
        <v>0.7</v>
      </c>
      <c r="Y477" s="5">
        <v>0.2</v>
      </c>
      <c r="Z477" s="5">
        <v>0.2</v>
      </c>
      <c r="AA477" s="5">
        <v>0</v>
      </c>
      <c r="AB477" s="5">
        <v>0</v>
      </c>
      <c r="AC477" s="5">
        <v>0.3</v>
      </c>
      <c r="AD477" s="5">
        <v>1</v>
      </c>
    </row>
    <row r="478" spans="1:30" x14ac:dyDescent="0.25">
      <c r="A478" s="7">
        <v>4780</v>
      </c>
      <c r="B478" s="7" t="s">
        <v>540</v>
      </c>
      <c r="C478" s="7">
        <v>21</v>
      </c>
      <c r="D478" s="7" t="s">
        <v>34</v>
      </c>
      <c r="E478" s="7" t="s">
        <v>58</v>
      </c>
      <c r="F478" s="7">
        <v>10</v>
      </c>
      <c r="G478" s="7">
        <v>0</v>
      </c>
      <c r="H478" s="7">
        <v>4.8</v>
      </c>
      <c r="I478" s="7">
        <v>0.3</v>
      </c>
      <c r="J478" s="7">
        <v>1.2</v>
      </c>
      <c r="K478" s="6">
        <f>IFERROR(database_24_25!$I478/database_24_25!$J478,0)</f>
        <v>0.25</v>
      </c>
      <c r="L478" s="7">
        <v>0.1</v>
      </c>
      <c r="M478" s="7">
        <v>0.6</v>
      </c>
      <c r="N478" s="6">
        <f>IFERROR(database_24_25!$L478/database_24_25!$M478,0)</f>
        <v>0.16666666666666669</v>
      </c>
      <c r="O478" s="7">
        <v>0.2</v>
      </c>
      <c r="P478" s="5">
        <f>database_24_25!$Q478/10</f>
        <v>0.6</v>
      </c>
      <c r="Q478" s="7">
        <v>6</v>
      </c>
      <c r="R478" s="6">
        <f>IFERROR(database_24_25!$O478/database_24_25!$P478,0)</f>
        <v>0.33333333333333337</v>
      </c>
      <c r="S478" s="7">
        <v>0.2</v>
      </c>
      <c r="T478" s="7">
        <v>0.2</v>
      </c>
      <c r="U478" s="6">
        <f>IFERROR(database_24_25!$S478/database_24_25!$T478,0)</f>
        <v>1</v>
      </c>
      <c r="V478" s="7">
        <v>0</v>
      </c>
      <c r="W478" s="7">
        <v>0.1</v>
      </c>
      <c r="X478" s="7">
        <v>0.1</v>
      </c>
      <c r="Y478" s="7">
        <v>0.3</v>
      </c>
      <c r="Z478" s="7">
        <v>0</v>
      </c>
      <c r="AA478" s="7">
        <v>0.1</v>
      </c>
      <c r="AB478" s="7">
        <v>0.1</v>
      </c>
      <c r="AC478" s="7">
        <v>0.3</v>
      </c>
      <c r="AD478" s="7">
        <v>0.9</v>
      </c>
    </row>
    <row r="479" spans="1:30" x14ac:dyDescent="0.25">
      <c r="A479" s="5">
        <v>4770</v>
      </c>
      <c r="B479" s="5" t="s">
        <v>539</v>
      </c>
      <c r="C479" s="5">
        <v>22</v>
      </c>
      <c r="D479" s="5" t="s">
        <v>146</v>
      </c>
      <c r="E479" s="5" t="s">
        <v>65</v>
      </c>
      <c r="F479" s="5">
        <v>8</v>
      </c>
      <c r="G479" s="5">
        <v>0</v>
      </c>
      <c r="H479" s="5">
        <v>3.8</v>
      </c>
      <c r="I479" s="5">
        <v>0.4</v>
      </c>
      <c r="J479" s="5">
        <v>0.9</v>
      </c>
      <c r="K479" s="6">
        <f>IFERROR(database_24_25!$I479/database_24_25!$J479,0)</f>
        <v>0.44444444444444448</v>
      </c>
      <c r="L479" s="5">
        <v>0.1</v>
      </c>
      <c r="M479" s="5">
        <v>0.1</v>
      </c>
      <c r="N479" s="6">
        <f>IFERROR(database_24_25!$L479/database_24_25!$M479,0)</f>
        <v>1</v>
      </c>
      <c r="O479" s="5">
        <v>0.3</v>
      </c>
      <c r="P479" s="5">
        <f>database_24_25!$Q479/10</f>
        <v>0.8</v>
      </c>
      <c r="Q479" s="5">
        <v>8</v>
      </c>
      <c r="R479" s="6">
        <f>IFERROR(database_24_25!$O479/database_24_25!$P479,0)</f>
        <v>0.37499999999999994</v>
      </c>
      <c r="S479" s="5">
        <v>0</v>
      </c>
      <c r="T479" s="5">
        <v>0</v>
      </c>
      <c r="U479" s="6">
        <f>IFERROR(database_24_25!$S479/database_24_25!$T479,0)</f>
        <v>0</v>
      </c>
      <c r="V479" s="5">
        <v>0.3</v>
      </c>
      <c r="W479" s="5">
        <v>0</v>
      </c>
      <c r="X479" s="5">
        <v>0.3</v>
      </c>
      <c r="Y479" s="5">
        <v>0.3</v>
      </c>
      <c r="Z479" s="5">
        <v>0.1</v>
      </c>
      <c r="AA479" s="5">
        <v>0</v>
      </c>
      <c r="AB479" s="5">
        <v>0.3</v>
      </c>
      <c r="AC479" s="5">
        <v>0.1</v>
      </c>
      <c r="AD479" s="5">
        <v>0.9</v>
      </c>
    </row>
    <row r="480" spans="1:30" x14ac:dyDescent="0.25">
      <c r="A480" s="7">
        <v>4790</v>
      </c>
      <c r="B480" s="7" t="s">
        <v>541</v>
      </c>
      <c r="C480" s="7">
        <v>24</v>
      </c>
      <c r="D480" s="7" t="s">
        <v>77</v>
      </c>
      <c r="E480" s="7" t="s">
        <v>58</v>
      </c>
      <c r="F480" s="7">
        <v>4</v>
      </c>
      <c r="G480" s="7">
        <v>0</v>
      </c>
      <c r="H480" s="7">
        <v>8.3000000000000007</v>
      </c>
      <c r="I480" s="7">
        <v>0.3</v>
      </c>
      <c r="J480" s="7">
        <v>1.8</v>
      </c>
      <c r="K480" s="6">
        <f>IFERROR(database_24_25!$I480/database_24_25!$J480,0)</f>
        <v>0.16666666666666666</v>
      </c>
      <c r="L480" s="7">
        <v>0</v>
      </c>
      <c r="M480" s="7">
        <v>0.8</v>
      </c>
      <c r="N480" s="6">
        <f>IFERROR(database_24_25!$L480/database_24_25!$M480,0)</f>
        <v>0</v>
      </c>
      <c r="O480" s="7">
        <v>0.3</v>
      </c>
      <c r="P480" s="5">
        <f>database_24_25!$Q480/10</f>
        <v>1</v>
      </c>
      <c r="Q480" s="7">
        <v>10</v>
      </c>
      <c r="R480" s="6">
        <f>IFERROR(database_24_25!$O480/database_24_25!$P480,0)</f>
        <v>0.3</v>
      </c>
      <c r="S480" s="7">
        <v>0.3</v>
      </c>
      <c r="T480" s="7">
        <v>0.3</v>
      </c>
      <c r="U480" s="6">
        <f>IFERROR(database_24_25!$S480/database_24_25!$T480,0)</f>
        <v>1</v>
      </c>
      <c r="V480" s="7">
        <v>0</v>
      </c>
      <c r="W480" s="7">
        <v>1</v>
      </c>
      <c r="X480" s="7">
        <v>1</v>
      </c>
      <c r="Y480" s="7">
        <v>0.8</v>
      </c>
      <c r="Z480" s="7">
        <v>0.5</v>
      </c>
      <c r="AA480" s="7">
        <v>0</v>
      </c>
      <c r="AB480" s="7">
        <v>1</v>
      </c>
      <c r="AC480" s="7">
        <v>0.3</v>
      </c>
      <c r="AD480" s="7">
        <v>0.8</v>
      </c>
    </row>
    <row r="481" spans="1:30" x14ac:dyDescent="0.25">
      <c r="A481" s="7">
        <v>4800</v>
      </c>
      <c r="B481" s="7" t="s">
        <v>542</v>
      </c>
      <c r="C481" s="7">
        <v>19</v>
      </c>
      <c r="D481" s="7" t="s">
        <v>77</v>
      </c>
      <c r="E481" s="7" t="s">
        <v>27</v>
      </c>
      <c r="F481" s="7">
        <v>5</v>
      </c>
      <c r="G481" s="7">
        <v>0</v>
      </c>
      <c r="H481" s="7">
        <v>3.8</v>
      </c>
      <c r="I481" s="7">
        <v>0.4</v>
      </c>
      <c r="J481" s="7">
        <v>0.6</v>
      </c>
      <c r="K481" s="6">
        <f>IFERROR(database_24_25!$I481/database_24_25!$J481,0)</f>
        <v>0.66666666666666674</v>
      </c>
      <c r="L481" s="7">
        <v>0</v>
      </c>
      <c r="M481" s="7">
        <v>0</v>
      </c>
      <c r="N481" s="6">
        <f>IFERROR(database_24_25!$L481/database_24_25!$M481,0)</f>
        <v>0</v>
      </c>
      <c r="O481" s="7">
        <v>0.4</v>
      </c>
      <c r="P481" s="5">
        <f>database_24_25!$Q481/10</f>
        <v>0.6</v>
      </c>
      <c r="Q481" s="7">
        <v>6</v>
      </c>
      <c r="R481" s="6">
        <f>IFERROR(database_24_25!$O481/database_24_25!$P481,0)</f>
        <v>0.66666666666666674</v>
      </c>
      <c r="S481" s="7">
        <v>0</v>
      </c>
      <c r="T481" s="7">
        <v>0</v>
      </c>
      <c r="U481" s="6">
        <f>IFERROR(database_24_25!$S481/database_24_25!$T481,0)</f>
        <v>0</v>
      </c>
      <c r="V481" s="7">
        <v>0.4</v>
      </c>
      <c r="W481" s="7">
        <v>0.4</v>
      </c>
      <c r="X481" s="7">
        <v>0.8</v>
      </c>
      <c r="Y481" s="7">
        <v>0.2</v>
      </c>
      <c r="Z481" s="7">
        <v>0</v>
      </c>
      <c r="AA481" s="7">
        <v>0</v>
      </c>
      <c r="AB481" s="7">
        <v>0.4</v>
      </c>
      <c r="AC481" s="7">
        <v>0.8</v>
      </c>
      <c r="AD481" s="7">
        <v>0.8</v>
      </c>
    </row>
    <row r="482" spans="1:30" x14ac:dyDescent="0.25">
      <c r="A482" s="7">
        <v>4820</v>
      </c>
      <c r="B482" s="7" t="s">
        <v>544</v>
      </c>
      <c r="C482" s="7">
        <v>23</v>
      </c>
      <c r="D482" s="7" t="s">
        <v>81</v>
      </c>
      <c r="E482" s="7" t="s">
        <v>27</v>
      </c>
      <c r="F482" s="7">
        <v>5</v>
      </c>
      <c r="G482" s="7">
        <v>0</v>
      </c>
      <c r="H482" s="7">
        <v>7.8</v>
      </c>
      <c r="I482" s="7">
        <v>0.4</v>
      </c>
      <c r="J482" s="7">
        <v>1</v>
      </c>
      <c r="K482" s="6">
        <f>IFERROR(database_24_25!$I482/database_24_25!$J482,0)</f>
        <v>0.4</v>
      </c>
      <c r="L482" s="7">
        <v>0</v>
      </c>
      <c r="M482" s="7">
        <v>0</v>
      </c>
      <c r="N482" s="6">
        <f>IFERROR(database_24_25!$L482/database_24_25!$M482,0)</f>
        <v>0</v>
      </c>
      <c r="O482" s="7">
        <v>0.4</v>
      </c>
      <c r="P482" s="5">
        <f>database_24_25!$Q482/10</f>
        <v>1</v>
      </c>
      <c r="Q482" s="7">
        <v>10</v>
      </c>
      <c r="R482" s="6">
        <f>IFERROR(database_24_25!$O482/database_24_25!$P482,0)</f>
        <v>0.4</v>
      </c>
      <c r="S482" s="7">
        <v>0</v>
      </c>
      <c r="T482" s="7">
        <v>0</v>
      </c>
      <c r="U482" s="6">
        <f>IFERROR(database_24_25!$S482/database_24_25!$T482,0)</f>
        <v>0</v>
      </c>
      <c r="V482" s="7">
        <v>1.2</v>
      </c>
      <c r="W482" s="7">
        <v>0.8</v>
      </c>
      <c r="X482" s="7">
        <v>2</v>
      </c>
      <c r="Y482" s="7">
        <v>0</v>
      </c>
      <c r="Z482" s="7">
        <v>0.6</v>
      </c>
      <c r="AA482" s="7">
        <v>0.6</v>
      </c>
      <c r="AB482" s="7">
        <v>0.8</v>
      </c>
      <c r="AC482" s="7">
        <v>0.8</v>
      </c>
      <c r="AD482" s="7">
        <v>0.8</v>
      </c>
    </row>
    <row r="483" spans="1:30" x14ac:dyDescent="0.25">
      <c r="A483" s="5">
        <v>4810</v>
      </c>
      <c r="B483" s="5" t="s">
        <v>543</v>
      </c>
      <c r="C483" s="5">
        <v>28</v>
      </c>
      <c r="D483" s="5" t="s">
        <v>63</v>
      </c>
      <c r="E483" s="5" t="s">
        <v>58</v>
      </c>
      <c r="F483" s="5">
        <v>9</v>
      </c>
      <c r="G483" s="5">
        <v>0</v>
      </c>
      <c r="H483" s="5">
        <v>3.9</v>
      </c>
      <c r="I483" s="5">
        <v>0.2</v>
      </c>
      <c r="J483" s="5">
        <v>0.3</v>
      </c>
      <c r="K483" s="6">
        <f>IFERROR(database_24_25!$I483/database_24_25!$J483,0)</f>
        <v>0.66666666666666674</v>
      </c>
      <c r="L483" s="5">
        <v>0.2</v>
      </c>
      <c r="M483" s="5">
        <v>0.3</v>
      </c>
      <c r="N483" s="6">
        <f>IFERROR(database_24_25!$L483/database_24_25!$M483,0)</f>
        <v>0.66666666666666674</v>
      </c>
      <c r="O483" s="5">
        <v>0</v>
      </c>
      <c r="P483" s="5">
        <f>database_24_25!$Q483/10</f>
        <v>0</v>
      </c>
      <c r="Q483" s="5">
        <v>0</v>
      </c>
      <c r="R483" s="6">
        <f>IFERROR(database_24_25!$O483/database_24_25!$P483,0)</f>
        <v>0</v>
      </c>
      <c r="S483" s="5">
        <v>0.1</v>
      </c>
      <c r="T483" s="5">
        <v>0.7</v>
      </c>
      <c r="U483" s="6">
        <f>IFERROR(database_24_25!$S483/database_24_25!$T483,0)</f>
        <v>0.14285714285714288</v>
      </c>
      <c r="V483" s="5">
        <v>0.1</v>
      </c>
      <c r="W483" s="5">
        <v>0.4</v>
      </c>
      <c r="X483" s="5">
        <v>0.6</v>
      </c>
      <c r="Y483" s="5">
        <v>0.6</v>
      </c>
      <c r="Z483" s="5">
        <v>0.1</v>
      </c>
      <c r="AA483" s="5">
        <v>0</v>
      </c>
      <c r="AB483" s="5">
        <v>0.1</v>
      </c>
      <c r="AC483" s="5">
        <v>0.3</v>
      </c>
      <c r="AD483" s="5">
        <v>0.8</v>
      </c>
    </row>
    <row r="484" spans="1:30" x14ac:dyDescent="0.25">
      <c r="A484" s="5">
        <v>4830</v>
      </c>
      <c r="B484" s="5" t="s">
        <v>545</v>
      </c>
      <c r="C484" s="5">
        <v>22</v>
      </c>
      <c r="D484" s="5" t="s">
        <v>86</v>
      </c>
      <c r="E484" s="5" t="s">
        <v>27</v>
      </c>
      <c r="F484" s="5">
        <v>10</v>
      </c>
      <c r="G484" s="5">
        <v>0</v>
      </c>
      <c r="H484" s="5">
        <v>4.7</v>
      </c>
      <c r="I484" s="5">
        <v>0.3</v>
      </c>
      <c r="J484" s="5">
        <v>0.9</v>
      </c>
      <c r="K484" s="6">
        <f>IFERROR(database_24_25!$I484/database_24_25!$J484,0)</f>
        <v>0.33333333333333331</v>
      </c>
      <c r="L484" s="5">
        <v>0.1</v>
      </c>
      <c r="M484" s="5">
        <v>0.6</v>
      </c>
      <c r="N484" s="6">
        <f>IFERROR(database_24_25!$L484/database_24_25!$M484,0)</f>
        <v>0.16666666666666669</v>
      </c>
      <c r="O484" s="5">
        <v>0.2</v>
      </c>
      <c r="P484" s="5">
        <f>database_24_25!$Q484/10</f>
        <v>0.3</v>
      </c>
      <c r="Q484" s="5">
        <v>3</v>
      </c>
      <c r="R484" s="6">
        <f>IFERROR(database_24_25!$O484/database_24_25!$P484,0)</f>
        <v>0.66666666666666674</v>
      </c>
      <c r="S484" s="5">
        <v>0.1</v>
      </c>
      <c r="T484" s="5">
        <v>0.2</v>
      </c>
      <c r="U484" s="6">
        <f>IFERROR(database_24_25!$S484/database_24_25!$T484,0)</f>
        <v>0.5</v>
      </c>
      <c r="V484" s="5">
        <v>0.2</v>
      </c>
      <c r="W484" s="5">
        <v>0.7</v>
      </c>
      <c r="X484" s="5">
        <v>0.9</v>
      </c>
      <c r="Y484" s="5">
        <v>0.4</v>
      </c>
      <c r="Z484" s="5">
        <v>0</v>
      </c>
      <c r="AA484" s="5">
        <v>0.2</v>
      </c>
      <c r="AB484" s="5">
        <v>0.3</v>
      </c>
      <c r="AC484" s="5">
        <v>0.6</v>
      </c>
      <c r="AD484" s="5">
        <v>0.8</v>
      </c>
    </row>
    <row r="485" spans="1:30" x14ac:dyDescent="0.25">
      <c r="A485" s="5">
        <v>4840</v>
      </c>
      <c r="B485" s="5" t="s">
        <v>546</v>
      </c>
      <c r="C485" s="5">
        <v>24</v>
      </c>
      <c r="D485" s="5" t="s">
        <v>41</v>
      </c>
      <c r="E485" s="5" t="s">
        <v>58</v>
      </c>
      <c r="F485" s="5">
        <v>5</v>
      </c>
      <c r="G485" s="5">
        <v>0</v>
      </c>
      <c r="H485" s="5">
        <v>6.8</v>
      </c>
      <c r="I485" s="5">
        <v>0.2</v>
      </c>
      <c r="J485" s="5">
        <v>2</v>
      </c>
      <c r="K485" s="6">
        <f>IFERROR(database_24_25!$I485/database_24_25!$J485,0)</f>
        <v>0.1</v>
      </c>
      <c r="L485" s="5">
        <v>0</v>
      </c>
      <c r="M485" s="5">
        <v>1.2</v>
      </c>
      <c r="N485" s="6">
        <f>IFERROR(database_24_25!$L485/database_24_25!$M485,0)</f>
        <v>0</v>
      </c>
      <c r="O485" s="5">
        <v>0.2</v>
      </c>
      <c r="P485" s="5">
        <f>database_24_25!$Q485/10</f>
        <v>0.8</v>
      </c>
      <c r="Q485" s="5">
        <v>8</v>
      </c>
      <c r="R485" s="6">
        <f>IFERROR(database_24_25!$O485/database_24_25!$P485,0)</f>
        <v>0.25</v>
      </c>
      <c r="S485" s="5">
        <v>0.4</v>
      </c>
      <c r="T485" s="5">
        <v>0.4</v>
      </c>
      <c r="U485" s="6">
        <f>IFERROR(database_24_25!$S485/database_24_25!$T485,0)</f>
        <v>1</v>
      </c>
      <c r="V485" s="5">
        <v>0.4</v>
      </c>
      <c r="W485" s="5">
        <v>1</v>
      </c>
      <c r="X485" s="5">
        <v>1.4</v>
      </c>
      <c r="Y485" s="5">
        <v>0.4</v>
      </c>
      <c r="Z485" s="5">
        <v>0.2</v>
      </c>
      <c r="AA485" s="5">
        <v>0</v>
      </c>
      <c r="AB485" s="5">
        <v>0</v>
      </c>
      <c r="AC485" s="5">
        <v>0.6</v>
      </c>
      <c r="AD485" s="5">
        <v>0.8</v>
      </c>
    </row>
    <row r="486" spans="1:30" x14ac:dyDescent="0.25">
      <c r="A486" s="7">
        <v>4880</v>
      </c>
      <c r="B486" s="7" t="s">
        <v>550</v>
      </c>
      <c r="C486" s="7">
        <v>21</v>
      </c>
      <c r="D486" s="7" t="s">
        <v>94</v>
      </c>
      <c r="E486" s="7" t="s">
        <v>35</v>
      </c>
      <c r="F486" s="7">
        <v>3</v>
      </c>
      <c r="G486" s="7">
        <v>0</v>
      </c>
      <c r="H486" s="7">
        <v>2.2999999999999998</v>
      </c>
      <c r="I486" s="7">
        <v>0.3</v>
      </c>
      <c r="J486" s="7">
        <v>1.3</v>
      </c>
      <c r="K486" s="6">
        <f>IFERROR(database_24_25!$I486/database_24_25!$J486,0)</f>
        <v>0.23076923076923075</v>
      </c>
      <c r="L486" s="7">
        <v>0</v>
      </c>
      <c r="M486" s="7">
        <v>1</v>
      </c>
      <c r="N486" s="6">
        <f>IFERROR(database_24_25!$L486/database_24_25!$M486,0)</f>
        <v>0</v>
      </c>
      <c r="O486" s="7">
        <v>0.3</v>
      </c>
      <c r="P486" s="5">
        <f>database_24_25!$Q486/10</f>
        <v>0.3</v>
      </c>
      <c r="Q486" s="7">
        <v>3</v>
      </c>
      <c r="R486" s="6">
        <f>IFERROR(database_24_25!$O486/database_24_25!$P486,0)</f>
        <v>1</v>
      </c>
      <c r="S486" s="7">
        <v>0</v>
      </c>
      <c r="T486" s="7">
        <v>0</v>
      </c>
      <c r="U486" s="6">
        <f>IFERROR(database_24_25!$S486/database_24_25!$T486,0)</f>
        <v>0</v>
      </c>
      <c r="V486" s="7">
        <v>0.3</v>
      </c>
      <c r="W486" s="7">
        <v>0</v>
      </c>
      <c r="X486" s="7">
        <v>0.3</v>
      </c>
      <c r="Y486" s="7">
        <v>0</v>
      </c>
      <c r="Z486" s="7">
        <v>0</v>
      </c>
      <c r="AA486" s="7">
        <v>0.3</v>
      </c>
      <c r="AB486" s="7">
        <v>0</v>
      </c>
      <c r="AC486" s="7">
        <v>0.3</v>
      </c>
      <c r="AD486" s="7">
        <v>0.7</v>
      </c>
    </row>
    <row r="487" spans="1:30" x14ac:dyDescent="0.25">
      <c r="A487" s="7">
        <v>4870</v>
      </c>
      <c r="B487" s="7" t="s">
        <v>549</v>
      </c>
      <c r="C487" s="7">
        <v>25</v>
      </c>
      <c r="D487" s="7" t="s">
        <v>29</v>
      </c>
      <c r="E487" s="7" t="s">
        <v>35</v>
      </c>
      <c r="F487" s="7">
        <v>7</v>
      </c>
      <c r="G487" s="7">
        <v>0</v>
      </c>
      <c r="H487" s="7">
        <v>4.7</v>
      </c>
      <c r="I487" s="7">
        <v>0.3</v>
      </c>
      <c r="J487" s="7">
        <v>0.6</v>
      </c>
      <c r="K487" s="6">
        <f>IFERROR(database_24_25!$I487/database_24_25!$J487,0)</f>
        <v>0.5</v>
      </c>
      <c r="L487" s="7">
        <v>0</v>
      </c>
      <c r="M487" s="7">
        <v>0.1</v>
      </c>
      <c r="N487" s="6">
        <f>IFERROR(database_24_25!$L487/database_24_25!$M487,0)</f>
        <v>0</v>
      </c>
      <c r="O487" s="7">
        <v>0.3</v>
      </c>
      <c r="P487" s="5">
        <f>database_24_25!$Q487/10</f>
        <v>0.4</v>
      </c>
      <c r="Q487" s="7">
        <v>4</v>
      </c>
      <c r="R487" s="6">
        <f>IFERROR(database_24_25!$O487/database_24_25!$P487,0)</f>
        <v>0.74999999999999989</v>
      </c>
      <c r="S487" s="7">
        <v>0.1</v>
      </c>
      <c r="T487" s="7">
        <v>0.6</v>
      </c>
      <c r="U487" s="6">
        <f>IFERROR(database_24_25!$S487/database_24_25!$T487,0)</f>
        <v>0.16666666666666669</v>
      </c>
      <c r="V487" s="7">
        <v>0.6</v>
      </c>
      <c r="W487" s="7">
        <v>0.4</v>
      </c>
      <c r="X487" s="7">
        <v>1</v>
      </c>
      <c r="Y487" s="7">
        <v>0.1</v>
      </c>
      <c r="Z487" s="7">
        <v>0.1</v>
      </c>
      <c r="AA487" s="7">
        <v>0.1</v>
      </c>
      <c r="AB487" s="7">
        <v>0.1</v>
      </c>
      <c r="AC487" s="7">
        <v>0.6</v>
      </c>
      <c r="AD487" s="7">
        <v>0.7</v>
      </c>
    </row>
    <row r="488" spans="1:30" x14ac:dyDescent="0.25">
      <c r="A488" s="5">
        <v>4860</v>
      </c>
      <c r="B488" s="5" t="s">
        <v>548</v>
      </c>
      <c r="C488" s="5">
        <v>21</v>
      </c>
      <c r="D488" s="5" t="s">
        <v>29</v>
      </c>
      <c r="E488" s="5" t="s">
        <v>65</v>
      </c>
      <c r="F488" s="5">
        <v>3</v>
      </c>
      <c r="G488" s="5">
        <v>0</v>
      </c>
      <c r="H488" s="5">
        <v>2</v>
      </c>
      <c r="I488" s="5">
        <v>0.3</v>
      </c>
      <c r="J488" s="5">
        <v>0.7</v>
      </c>
      <c r="K488" s="6">
        <f>IFERROR(database_24_25!$I488/database_24_25!$J488,0)</f>
        <v>0.4285714285714286</v>
      </c>
      <c r="L488" s="5">
        <v>0</v>
      </c>
      <c r="M488" s="5">
        <v>0</v>
      </c>
      <c r="N488" s="6">
        <f>IFERROR(database_24_25!$L488/database_24_25!$M488,0)</f>
        <v>0</v>
      </c>
      <c r="O488" s="5">
        <v>0.3</v>
      </c>
      <c r="P488" s="5">
        <f>database_24_25!$Q488/10</f>
        <v>0.7</v>
      </c>
      <c r="Q488" s="5">
        <v>7</v>
      </c>
      <c r="R488" s="6">
        <f>IFERROR(database_24_25!$O488/database_24_25!$P488,0)</f>
        <v>0.4285714285714286</v>
      </c>
      <c r="S488" s="5">
        <v>0</v>
      </c>
      <c r="T488" s="5">
        <v>0</v>
      </c>
      <c r="U488" s="6">
        <f>IFERROR(database_24_25!$S488/database_24_25!$T488,0)</f>
        <v>0</v>
      </c>
      <c r="V488" s="5">
        <v>0.3</v>
      </c>
      <c r="W488" s="5">
        <v>0.3</v>
      </c>
      <c r="X488" s="5">
        <v>0.7</v>
      </c>
      <c r="Y488" s="5">
        <v>0.3</v>
      </c>
      <c r="Z488" s="5">
        <v>0.3</v>
      </c>
      <c r="AA488" s="5">
        <v>0</v>
      </c>
      <c r="AB488" s="5">
        <v>0.3</v>
      </c>
      <c r="AC488" s="5">
        <v>0</v>
      </c>
      <c r="AD488" s="5">
        <v>0.7</v>
      </c>
    </row>
    <row r="489" spans="1:30" x14ac:dyDescent="0.25">
      <c r="A489" s="5">
        <v>4850</v>
      </c>
      <c r="B489" s="5" t="s">
        <v>547</v>
      </c>
      <c r="C489" s="5">
        <v>22</v>
      </c>
      <c r="D489" s="5" t="s">
        <v>34</v>
      </c>
      <c r="E489" s="5" t="s">
        <v>35</v>
      </c>
      <c r="F489" s="5">
        <v>6</v>
      </c>
      <c r="G489" s="5">
        <v>0</v>
      </c>
      <c r="H489" s="5">
        <v>2.2999999999999998</v>
      </c>
      <c r="I489" s="5">
        <v>0.3</v>
      </c>
      <c r="J489" s="5">
        <v>0.8</v>
      </c>
      <c r="K489" s="6">
        <f>IFERROR(database_24_25!$I489/database_24_25!$J489,0)</f>
        <v>0.37499999999999994</v>
      </c>
      <c r="L489" s="5">
        <v>0</v>
      </c>
      <c r="M489" s="5">
        <v>0.3</v>
      </c>
      <c r="N489" s="6">
        <f>IFERROR(database_24_25!$L489/database_24_25!$M489,0)</f>
        <v>0</v>
      </c>
      <c r="O489" s="5">
        <v>0.3</v>
      </c>
      <c r="P489" s="5">
        <f>database_24_25!$Q489/10</f>
        <v>0.5</v>
      </c>
      <c r="Q489" s="5">
        <v>5</v>
      </c>
      <c r="R489" s="6">
        <f>IFERROR(database_24_25!$O489/database_24_25!$P489,0)</f>
        <v>0.6</v>
      </c>
      <c r="S489" s="5">
        <v>0</v>
      </c>
      <c r="T489" s="5">
        <v>0</v>
      </c>
      <c r="U489" s="6">
        <f>IFERROR(database_24_25!$S489/database_24_25!$T489,0)</f>
        <v>0</v>
      </c>
      <c r="V489" s="5">
        <v>0</v>
      </c>
      <c r="W489" s="5">
        <v>0.5</v>
      </c>
      <c r="X489" s="5">
        <v>0.5</v>
      </c>
      <c r="Y489" s="5">
        <v>0</v>
      </c>
      <c r="Z489" s="5">
        <v>0</v>
      </c>
      <c r="AA489" s="5">
        <v>0.2</v>
      </c>
      <c r="AB489" s="5">
        <v>0</v>
      </c>
      <c r="AC489" s="5">
        <v>0.2</v>
      </c>
      <c r="AD489" s="5">
        <v>0.7</v>
      </c>
    </row>
    <row r="490" spans="1:30" x14ac:dyDescent="0.25">
      <c r="A490" s="5">
        <v>4890</v>
      </c>
      <c r="B490" s="5" t="s">
        <v>551</v>
      </c>
      <c r="C490" s="5">
        <v>25</v>
      </c>
      <c r="D490" s="5" t="s">
        <v>31</v>
      </c>
      <c r="E490" s="5" t="s">
        <v>35</v>
      </c>
      <c r="F490" s="5">
        <v>7</v>
      </c>
      <c r="G490" s="5">
        <v>0</v>
      </c>
      <c r="H490" s="5">
        <v>3.6</v>
      </c>
      <c r="I490" s="5">
        <v>0.1</v>
      </c>
      <c r="J490" s="5">
        <v>1.1000000000000001</v>
      </c>
      <c r="K490" s="6">
        <f>IFERROR(database_24_25!$I490/database_24_25!$J490,0)</f>
        <v>9.0909090909090912E-2</v>
      </c>
      <c r="L490" s="5">
        <v>0</v>
      </c>
      <c r="M490" s="5">
        <v>0.9</v>
      </c>
      <c r="N490" s="6">
        <f>IFERROR(database_24_25!$L490/database_24_25!$M490,0)</f>
        <v>0</v>
      </c>
      <c r="O490" s="5">
        <v>0.1</v>
      </c>
      <c r="P490" s="5">
        <f>database_24_25!$Q490/10</f>
        <v>0.3</v>
      </c>
      <c r="Q490" s="5">
        <v>3</v>
      </c>
      <c r="R490" s="6">
        <f>IFERROR(database_24_25!$O490/database_24_25!$P490,0)</f>
        <v>0.33333333333333337</v>
      </c>
      <c r="S490" s="5">
        <v>0.3</v>
      </c>
      <c r="T490" s="5">
        <v>0.3</v>
      </c>
      <c r="U490" s="6">
        <f>IFERROR(database_24_25!$S490/database_24_25!$T490,0)</f>
        <v>1</v>
      </c>
      <c r="V490" s="5">
        <v>0.4</v>
      </c>
      <c r="W490" s="5">
        <v>0.9</v>
      </c>
      <c r="X490" s="5">
        <v>1.3</v>
      </c>
      <c r="Y490" s="5">
        <v>0.4</v>
      </c>
      <c r="Z490" s="5">
        <v>0.1</v>
      </c>
      <c r="AA490" s="5">
        <v>0.1</v>
      </c>
      <c r="AB490" s="5">
        <v>0.1</v>
      </c>
      <c r="AC490" s="5">
        <v>0.1</v>
      </c>
      <c r="AD490" s="5">
        <v>0.6</v>
      </c>
    </row>
    <row r="491" spans="1:30" x14ac:dyDescent="0.25">
      <c r="A491" s="7">
        <v>4910</v>
      </c>
      <c r="B491" s="7" t="s">
        <v>553</v>
      </c>
      <c r="C491" s="7">
        <v>23</v>
      </c>
      <c r="D491" s="7" t="s">
        <v>108</v>
      </c>
      <c r="E491" s="7" t="s">
        <v>58</v>
      </c>
      <c r="F491" s="7">
        <v>5</v>
      </c>
      <c r="G491" s="7">
        <v>0</v>
      </c>
      <c r="H491" s="7">
        <v>1.6</v>
      </c>
      <c r="I491" s="7">
        <v>0.2</v>
      </c>
      <c r="J491" s="7">
        <v>1.2</v>
      </c>
      <c r="K491" s="6">
        <f>IFERROR(database_24_25!$I491/database_24_25!$J491,0)</f>
        <v>0.16666666666666669</v>
      </c>
      <c r="L491" s="7">
        <v>0</v>
      </c>
      <c r="M491" s="7">
        <v>0.6</v>
      </c>
      <c r="N491" s="6">
        <f>IFERROR(database_24_25!$L491/database_24_25!$M491,0)</f>
        <v>0</v>
      </c>
      <c r="O491" s="7">
        <v>0.2</v>
      </c>
      <c r="P491" s="5">
        <f>database_24_25!$Q491/10</f>
        <v>0.6</v>
      </c>
      <c r="Q491" s="7">
        <v>6</v>
      </c>
      <c r="R491" s="6">
        <f>IFERROR(database_24_25!$O491/database_24_25!$P491,0)</f>
        <v>0.33333333333333337</v>
      </c>
      <c r="S491" s="7">
        <v>0.2</v>
      </c>
      <c r="T491" s="7">
        <v>0.2</v>
      </c>
      <c r="U491" s="6">
        <f>IFERROR(database_24_25!$S491/database_24_25!$T491,0)</f>
        <v>1</v>
      </c>
      <c r="V491" s="7">
        <v>0</v>
      </c>
      <c r="W491" s="7">
        <v>0</v>
      </c>
      <c r="X491" s="7">
        <v>0</v>
      </c>
      <c r="Y491" s="7">
        <v>0.2</v>
      </c>
      <c r="Z491" s="7">
        <v>0</v>
      </c>
      <c r="AA491" s="7">
        <v>0</v>
      </c>
      <c r="AB491" s="7">
        <v>0.2</v>
      </c>
      <c r="AC491" s="7">
        <v>0.4</v>
      </c>
      <c r="AD491" s="7">
        <v>0.6</v>
      </c>
    </row>
    <row r="492" spans="1:30" x14ac:dyDescent="0.25">
      <c r="A492" s="7">
        <v>4900</v>
      </c>
      <c r="B492" s="7" t="s">
        <v>552</v>
      </c>
      <c r="C492" s="7">
        <v>21</v>
      </c>
      <c r="D492" s="7" t="s">
        <v>60</v>
      </c>
      <c r="E492" s="7" t="s">
        <v>58</v>
      </c>
      <c r="F492" s="7">
        <v>5</v>
      </c>
      <c r="G492" s="7">
        <v>0</v>
      </c>
      <c r="H492" s="7">
        <v>2</v>
      </c>
      <c r="I492" s="7">
        <v>0.2</v>
      </c>
      <c r="J492" s="7">
        <v>1.4</v>
      </c>
      <c r="K492" s="6">
        <f>IFERROR(database_24_25!$I492/database_24_25!$J492,0)</f>
        <v>0.14285714285714288</v>
      </c>
      <c r="L492" s="7">
        <v>0</v>
      </c>
      <c r="M492" s="7">
        <v>0.6</v>
      </c>
      <c r="N492" s="6">
        <f>IFERROR(database_24_25!$L492/database_24_25!$M492,0)</f>
        <v>0</v>
      </c>
      <c r="O492" s="7">
        <v>0.2</v>
      </c>
      <c r="P492" s="5">
        <f>database_24_25!$Q492/10</f>
        <v>0.8</v>
      </c>
      <c r="Q492" s="7">
        <v>8</v>
      </c>
      <c r="R492" s="6">
        <f>IFERROR(database_24_25!$O492/database_24_25!$P492,0)</f>
        <v>0.25</v>
      </c>
      <c r="S492" s="7">
        <v>0.2</v>
      </c>
      <c r="T492" s="7">
        <v>0.4</v>
      </c>
      <c r="U492" s="6">
        <f>IFERROR(database_24_25!$S492/database_24_25!$T492,0)</f>
        <v>0.5</v>
      </c>
      <c r="V492" s="7">
        <v>0</v>
      </c>
      <c r="W492" s="7">
        <v>0.4</v>
      </c>
      <c r="X492" s="7">
        <v>0.4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0.6</v>
      </c>
    </row>
    <row r="493" spans="1:30" x14ac:dyDescent="0.25">
      <c r="A493" s="7">
        <v>4930</v>
      </c>
      <c r="B493" s="7" t="s">
        <v>555</v>
      </c>
      <c r="C493" s="7">
        <v>38</v>
      </c>
      <c r="D493" s="7" t="s">
        <v>77</v>
      </c>
      <c r="E493" s="7" t="s">
        <v>58</v>
      </c>
      <c r="F493" s="7">
        <v>11</v>
      </c>
      <c r="G493" s="7">
        <v>0</v>
      </c>
      <c r="H493" s="7">
        <v>4.3</v>
      </c>
      <c r="I493" s="7">
        <v>0.2</v>
      </c>
      <c r="J493" s="7">
        <v>0.9</v>
      </c>
      <c r="K493" s="6">
        <f>IFERROR(database_24_25!$I493/database_24_25!$J493,0)</f>
        <v>0.22222222222222224</v>
      </c>
      <c r="L493" s="7">
        <v>0.1</v>
      </c>
      <c r="M493" s="7">
        <v>0.5</v>
      </c>
      <c r="N493" s="6">
        <f>IFERROR(database_24_25!$L493/database_24_25!$M493,0)</f>
        <v>0.2</v>
      </c>
      <c r="O493" s="7">
        <v>0.1</v>
      </c>
      <c r="P493" s="5">
        <f>database_24_25!$Q493/10</f>
        <v>0.5</v>
      </c>
      <c r="Q493" s="7">
        <v>5</v>
      </c>
      <c r="R493" s="6">
        <f>IFERROR(database_24_25!$O493/database_24_25!$P493,0)</f>
        <v>0.2</v>
      </c>
      <c r="S493" s="7">
        <v>0</v>
      </c>
      <c r="T493" s="7">
        <v>0</v>
      </c>
      <c r="U493" s="6">
        <f>IFERROR(database_24_25!$S493/database_24_25!$T493,0)</f>
        <v>0</v>
      </c>
      <c r="V493" s="7">
        <v>0.1</v>
      </c>
      <c r="W493" s="7">
        <v>0.7</v>
      </c>
      <c r="X493" s="7">
        <v>0.8</v>
      </c>
      <c r="Y493" s="7">
        <v>0.6</v>
      </c>
      <c r="Z493" s="7">
        <v>0.4</v>
      </c>
      <c r="AA493" s="7">
        <v>0.1</v>
      </c>
      <c r="AB493" s="7">
        <v>0.4</v>
      </c>
      <c r="AC493" s="7">
        <v>0.5</v>
      </c>
      <c r="AD493" s="7">
        <v>0.5</v>
      </c>
    </row>
    <row r="494" spans="1:30" x14ac:dyDescent="0.25">
      <c r="A494" s="5">
        <v>4920</v>
      </c>
      <c r="B494" s="5" t="s">
        <v>554</v>
      </c>
      <c r="C494" s="5">
        <v>20</v>
      </c>
      <c r="D494" s="5" t="s">
        <v>51</v>
      </c>
      <c r="E494" s="5" t="s">
        <v>58</v>
      </c>
      <c r="F494" s="5">
        <v>8</v>
      </c>
      <c r="G494" s="5">
        <v>0</v>
      </c>
      <c r="H494" s="5">
        <v>2.5</v>
      </c>
      <c r="I494" s="5">
        <v>0.1</v>
      </c>
      <c r="J494" s="5">
        <v>1.1000000000000001</v>
      </c>
      <c r="K494" s="6">
        <f>IFERROR(database_24_25!$I494/database_24_25!$J494,0)</f>
        <v>9.0909090909090912E-2</v>
      </c>
      <c r="L494" s="5">
        <v>0</v>
      </c>
      <c r="M494" s="5">
        <v>0.5</v>
      </c>
      <c r="N494" s="6">
        <f>IFERROR(database_24_25!$L494/database_24_25!$M494,0)</f>
        <v>0</v>
      </c>
      <c r="O494" s="5">
        <v>0.1</v>
      </c>
      <c r="P494" s="5">
        <f>database_24_25!$Q494/10</f>
        <v>0.6</v>
      </c>
      <c r="Q494" s="5">
        <v>6</v>
      </c>
      <c r="R494" s="6">
        <f>IFERROR(database_24_25!$O494/database_24_25!$P494,0)</f>
        <v>0.16666666666666669</v>
      </c>
      <c r="S494" s="5">
        <v>0.3</v>
      </c>
      <c r="T494" s="5">
        <v>0.3</v>
      </c>
      <c r="U494" s="6">
        <f>IFERROR(database_24_25!$S494/database_24_25!$T494,0)</f>
        <v>1</v>
      </c>
      <c r="V494" s="5">
        <v>0.1</v>
      </c>
      <c r="W494" s="5">
        <v>0</v>
      </c>
      <c r="X494" s="5">
        <v>0.1</v>
      </c>
      <c r="Y494" s="5">
        <v>0.4</v>
      </c>
      <c r="Z494" s="5">
        <v>0.1</v>
      </c>
      <c r="AA494" s="5">
        <v>0.1</v>
      </c>
      <c r="AB494" s="5">
        <v>0</v>
      </c>
      <c r="AC494" s="5">
        <v>0.3</v>
      </c>
      <c r="AD494" s="5">
        <v>0.5</v>
      </c>
    </row>
    <row r="495" spans="1:30" x14ac:dyDescent="0.25">
      <c r="A495" s="5">
        <v>4960</v>
      </c>
      <c r="B495" s="5" t="s">
        <v>558</v>
      </c>
      <c r="C495" s="5">
        <v>25</v>
      </c>
      <c r="D495" s="5" t="s">
        <v>29</v>
      </c>
      <c r="E495" s="5" t="s">
        <v>58</v>
      </c>
      <c r="F495" s="5">
        <v>8</v>
      </c>
      <c r="G495" s="5">
        <v>0</v>
      </c>
      <c r="H495" s="5">
        <v>3.3</v>
      </c>
      <c r="I495" s="5">
        <v>0.1</v>
      </c>
      <c r="J495" s="5">
        <v>0.6</v>
      </c>
      <c r="K495" s="6">
        <f>IFERROR(database_24_25!$I495/database_24_25!$J495,0)</f>
        <v>0.16666666666666669</v>
      </c>
      <c r="L495" s="5">
        <v>0.1</v>
      </c>
      <c r="M495" s="5">
        <v>0.5</v>
      </c>
      <c r="N495" s="6">
        <f>IFERROR(database_24_25!$L495/database_24_25!$M495,0)</f>
        <v>0.2</v>
      </c>
      <c r="O495" s="5">
        <v>0</v>
      </c>
      <c r="P495" s="5">
        <f>database_24_25!$Q495/10</f>
        <v>0.1</v>
      </c>
      <c r="Q495" s="5">
        <v>1</v>
      </c>
      <c r="R495" s="6">
        <f>IFERROR(database_24_25!$O495/database_24_25!$P495,0)</f>
        <v>0</v>
      </c>
      <c r="S495" s="5">
        <v>0</v>
      </c>
      <c r="T495" s="5">
        <v>0.3</v>
      </c>
      <c r="U495" s="6">
        <f>IFERROR(database_24_25!$S495/database_24_25!$T495,0)</f>
        <v>0</v>
      </c>
      <c r="V495" s="5">
        <v>0</v>
      </c>
      <c r="W495" s="5">
        <v>0.8</v>
      </c>
      <c r="X495" s="5">
        <v>0.8</v>
      </c>
      <c r="Y495" s="5">
        <v>0.3</v>
      </c>
      <c r="Z495" s="5">
        <v>0.1</v>
      </c>
      <c r="AA495" s="5">
        <v>0.1</v>
      </c>
      <c r="AB495" s="5">
        <v>0</v>
      </c>
      <c r="AC495" s="5">
        <v>0.1</v>
      </c>
      <c r="AD495" s="5">
        <v>0.4</v>
      </c>
    </row>
    <row r="496" spans="1:30" x14ac:dyDescent="0.25">
      <c r="A496" s="7">
        <v>4950</v>
      </c>
      <c r="B496" s="7" t="s">
        <v>557</v>
      </c>
      <c r="C496" s="7">
        <v>23</v>
      </c>
      <c r="D496" s="7" t="s">
        <v>34</v>
      </c>
      <c r="E496" s="7" t="s">
        <v>65</v>
      </c>
      <c r="F496" s="7">
        <v>5</v>
      </c>
      <c r="G496" s="7">
        <v>0</v>
      </c>
      <c r="H496" s="7">
        <v>2.6</v>
      </c>
      <c r="I496" s="7">
        <v>0.2</v>
      </c>
      <c r="J496" s="7">
        <v>0.8</v>
      </c>
      <c r="K496" s="6">
        <f>IFERROR(database_24_25!$I496/database_24_25!$J496,0)</f>
        <v>0.25</v>
      </c>
      <c r="L496" s="7">
        <v>0</v>
      </c>
      <c r="M496" s="7">
        <v>0.6</v>
      </c>
      <c r="N496" s="6">
        <f>IFERROR(database_24_25!$L496/database_24_25!$M496,0)</f>
        <v>0</v>
      </c>
      <c r="O496" s="7">
        <v>0.2</v>
      </c>
      <c r="P496" s="5">
        <f>database_24_25!$Q496/10</f>
        <v>0.2</v>
      </c>
      <c r="Q496" s="7">
        <v>2</v>
      </c>
      <c r="R496" s="6">
        <f>IFERROR(database_24_25!$O496/database_24_25!$P496,0)</f>
        <v>1</v>
      </c>
      <c r="S496" s="7">
        <v>0</v>
      </c>
      <c r="T496" s="7">
        <v>0</v>
      </c>
      <c r="U496" s="6">
        <f>IFERROR(database_24_25!$S496/database_24_25!$T496,0)</f>
        <v>0</v>
      </c>
      <c r="V496" s="7">
        <v>0</v>
      </c>
      <c r="W496" s="7">
        <v>0.6</v>
      </c>
      <c r="X496" s="7">
        <v>0.6</v>
      </c>
      <c r="Y496" s="7">
        <v>0</v>
      </c>
      <c r="Z496" s="7">
        <v>0.4</v>
      </c>
      <c r="AA496" s="7">
        <v>0</v>
      </c>
      <c r="AB496" s="7">
        <v>0.2</v>
      </c>
      <c r="AC496" s="7">
        <v>0.2</v>
      </c>
      <c r="AD496" s="7">
        <v>0.4</v>
      </c>
    </row>
    <row r="497" spans="1:30" x14ac:dyDescent="0.25">
      <c r="A497" s="5">
        <v>4940</v>
      </c>
      <c r="B497" s="5" t="s">
        <v>556</v>
      </c>
      <c r="C497" s="5">
        <v>23</v>
      </c>
      <c r="D497" s="5" t="s">
        <v>146</v>
      </c>
      <c r="E497" s="5" t="s">
        <v>32</v>
      </c>
      <c r="F497" s="5">
        <v>7</v>
      </c>
      <c r="G497" s="5">
        <v>0</v>
      </c>
      <c r="H497" s="5">
        <v>3.9</v>
      </c>
      <c r="I497" s="5">
        <v>0.1</v>
      </c>
      <c r="J497" s="5">
        <v>0.6</v>
      </c>
      <c r="K497" s="6">
        <f>IFERROR(database_24_25!$I497/database_24_25!$J497,0)</f>
        <v>0.16666666666666669</v>
      </c>
      <c r="L497" s="5">
        <v>0</v>
      </c>
      <c r="M497" s="5">
        <v>0.3</v>
      </c>
      <c r="N497" s="6">
        <f>IFERROR(database_24_25!$L497/database_24_25!$M497,0)</f>
        <v>0</v>
      </c>
      <c r="O497" s="5">
        <v>0.1</v>
      </c>
      <c r="P497" s="5">
        <f>database_24_25!$Q497/10</f>
        <v>0.3</v>
      </c>
      <c r="Q497" s="5">
        <v>3</v>
      </c>
      <c r="R497" s="6">
        <f>IFERROR(database_24_25!$O497/database_24_25!$P497,0)</f>
        <v>0.33333333333333337</v>
      </c>
      <c r="S497" s="5">
        <v>0.1</v>
      </c>
      <c r="T497" s="5">
        <v>0.3</v>
      </c>
      <c r="U497" s="6">
        <f>IFERROR(database_24_25!$S497/database_24_25!$T497,0)</f>
        <v>0.33333333333333337</v>
      </c>
      <c r="V497" s="5">
        <v>0.1</v>
      </c>
      <c r="W497" s="5">
        <v>0</v>
      </c>
      <c r="X497" s="5">
        <v>0.1</v>
      </c>
      <c r="Y497" s="5">
        <v>0.4</v>
      </c>
      <c r="Z497" s="5">
        <v>0.1</v>
      </c>
      <c r="AA497" s="5">
        <v>0</v>
      </c>
      <c r="AB497" s="5">
        <v>0.3</v>
      </c>
      <c r="AC497" s="5">
        <v>0.4</v>
      </c>
      <c r="AD497" s="5">
        <v>0.4</v>
      </c>
    </row>
    <row r="498" spans="1:30" x14ac:dyDescent="0.25">
      <c r="A498" s="5">
        <v>4970</v>
      </c>
      <c r="B498" s="5" t="s">
        <v>559</v>
      </c>
      <c r="C498" s="5">
        <v>23</v>
      </c>
      <c r="D498" s="5" t="s">
        <v>45</v>
      </c>
      <c r="E498" s="5" t="s">
        <v>65</v>
      </c>
      <c r="F498" s="5">
        <v>4</v>
      </c>
      <c r="G498" s="5">
        <v>0</v>
      </c>
      <c r="H498" s="5">
        <v>4.3</v>
      </c>
      <c r="I498" s="5">
        <v>0</v>
      </c>
      <c r="J498" s="5">
        <v>0.8</v>
      </c>
      <c r="K498" s="6">
        <f>IFERROR(database_24_25!$I498/database_24_25!$J498,0)</f>
        <v>0</v>
      </c>
      <c r="L498" s="5">
        <v>0</v>
      </c>
      <c r="M498" s="5">
        <v>0.8</v>
      </c>
      <c r="N498" s="6">
        <f>IFERROR(database_24_25!$L498/database_24_25!$M498,0)</f>
        <v>0</v>
      </c>
      <c r="O498" s="5">
        <v>0</v>
      </c>
      <c r="P498" s="5">
        <f>database_24_25!$Q498/10</f>
        <v>0</v>
      </c>
      <c r="Q498" s="5">
        <v>0</v>
      </c>
      <c r="R498" s="6">
        <f>IFERROR(database_24_25!$O498/database_24_25!$P498,0)</f>
        <v>0</v>
      </c>
      <c r="S498" s="5">
        <v>0.3</v>
      </c>
      <c r="T498" s="5">
        <v>0.5</v>
      </c>
      <c r="U498" s="6">
        <f>IFERROR(database_24_25!$S498/database_24_25!$T498,0)</f>
        <v>0.6</v>
      </c>
      <c r="V498" s="5">
        <v>0</v>
      </c>
      <c r="W498" s="5">
        <v>0.8</v>
      </c>
      <c r="X498" s="5">
        <v>0.8</v>
      </c>
      <c r="Y498" s="5">
        <v>0</v>
      </c>
      <c r="Z498" s="5">
        <v>0</v>
      </c>
      <c r="AA498" s="5">
        <v>0</v>
      </c>
      <c r="AB498" s="5">
        <v>0.5</v>
      </c>
      <c r="AC498" s="5">
        <v>0</v>
      </c>
      <c r="AD498" s="5">
        <v>0.3</v>
      </c>
    </row>
    <row r="499" spans="1:30" x14ac:dyDescent="0.25">
      <c r="A499" s="7">
        <v>4980</v>
      </c>
      <c r="B499" s="7" t="s">
        <v>560</v>
      </c>
      <c r="C499" s="7">
        <v>25</v>
      </c>
      <c r="D499" s="7" t="s">
        <v>31</v>
      </c>
      <c r="E499" s="7" t="s">
        <v>65</v>
      </c>
      <c r="F499" s="7">
        <v>6</v>
      </c>
      <c r="G499" s="7">
        <v>0</v>
      </c>
      <c r="H499" s="7">
        <v>3.5</v>
      </c>
      <c r="I499" s="7">
        <v>0</v>
      </c>
      <c r="J499" s="7">
        <v>0.3</v>
      </c>
      <c r="K499" s="6">
        <f>IFERROR(database_24_25!$I499/database_24_25!$J499,0)</f>
        <v>0</v>
      </c>
      <c r="L499" s="7">
        <v>0</v>
      </c>
      <c r="M499" s="7">
        <v>0.2</v>
      </c>
      <c r="N499" s="6">
        <f>IFERROR(database_24_25!$L499/database_24_25!$M499,0)</f>
        <v>0</v>
      </c>
      <c r="O499" s="7">
        <v>0</v>
      </c>
      <c r="P499" s="5">
        <f>database_24_25!$Q499/10</f>
        <v>0.2</v>
      </c>
      <c r="Q499" s="7">
        <v>2</v>
      </c>
      <c r="R499" s="6">
        <f>IFERROR(database_24_25!$O499/database_24_25!$P499,0)</f>
        <v>0</v>
      </c>
      <c r="S499" s="7">
        <v>0.3</v>
      </c>
      <c r="T499" s="7">
        <v>0.7</v>
      </c>
      <c r="U499" s="6">
        <f>IFERROR(database_24_25!$S499/database_24_25!$T499,0)</f>
        <v>0.4285714285714286</v>
      </c>
      <c r="V499" s="7">
        <v>0.2</v>
      </c>
      <c r="W499" s="7">
        <v>0.3</v>
      </c>
      <c r="X499" s="7">
        <v>0.5</v>
      </c>
      <c r="Y499" s="7">
        <v>0.2</v>
      </c>
      <c r="Z499" s="7">
        <v>0</v>
      </c>
      <c r="AA499" s="7">
        <v>0</v>
      </c>
      <c r="AB499" s="7">
        <v>0.2</v>
      </c>
      <c r="AC499" s="7">
        <v>0.7</v>
      </c>
      <c r="AD499" s="7">
        <v>0.3</v>
      </c>
    </row>
    <row r="500" spans="1:30" x14ac:dyDescent="0.25">
      <c r="A500" s="7">
        <v>4990</v>
      </c>
      <c r="B500" s="7" t="s">
        <v>561</v>
      </c>
      <c r="C500" s="7">
        <v>22</v>
      </c>
      <c r="D500" s="7" t="s">
        <v>63</v>
      </c>
      <c r="E500" s="7" t="s">
        <v>32</v>
      </c>
      <c r="F500" s="7">
        <v>3</v>
      </c>
      <c r="G500" s="7">
        <v>0</v>
      </c>
      <c r="H500" s="7">
        <v>4.3</v>
      </c>
      <c r="I500" s="7">
        <v>0</v>
      </c>
      <c r="J500" s="7">
        <v>0.3</v>
      </c>
      <c r="K500" s="6">
        <f>IFERROR(database_24_25!$I500/database_24_25!$J500,0)</f>
        <v>0</v>
      </c>
      <c r="L500" s="7">
        <v>0</v>
      </c>
      <c r="M500" s="7">
        <v>0.3</v>
      </c>
      <c r="N500" s="6">
        <f>IFERROR(database_24_25!$L500/database_24_25!$M500,0)</f>
        <v>0</v>
      </c>
      <c r="O500" s="7">
        <v>0</v>
      </c>
      <c r="P500" s="5">
        <f>database_24_25!$Q500/10</f>
        <v>0</v>
      </c>
      <c r="Q500" s="7">
        <v>0</v>
      </c>
      <c r="R500" s="6">
        <f>IFERROR(database_24_25!$O500/database_24_25!$P500,0)</f>
        <v>0</v>
      </c>
      <c r="S500" s="7">
        <v>0.3</v>
      </c>
      <c r="T500" s="7">
        <v>0.7</v>
      </c>
      <c r="U500" s="6">
        <f>IFERROR(database_24_25!$S500/database_24_25!$T500,0)</f>
        <v>0.4285714285714286</v>
      </c>
      <c r="V500" s="7">
        <v>0</v>
      </c>
      <c r="W500" s="7">
        <v>1.3</v>
      </c>
      <c r="X500" s="7">
        <v>1.3</v>
      </c>
      <c r="Y500" s="7">
        <v>1</v>
      </c>
      <c r="Z500" s="7">
        <v>0</v>
      </c>
      <c r="AA500" s="7">
        <v>0</v>
      </c>
      <c r="AB500" s="7">
        <v>1.3</v>
      </c>
      <c r="AC500" s="7">
        <v>0.3</v>
      </c>
      <c r="AD500" s="7">
        <v>0.3</v>
      </c>
    </row>
    <row r="501" spans="1:30" x14ac:dyDescent="0.25">
      <c r="A501" s="5">
        <v>5000</v>
      </c>
      <c r="B501" s="5" t="s">
        <v>562</v>
      </c>
      <c r="C501" s="5">
        <v>24</v>
      </c>
      <c r="D501" s="5" t="s">
        <v>55</v>
      </c>
      <c r="E501" s="5" t="s">
        <v>65</v>
      </c>
      <c r="F501" s="5">
        <v>9</v>
      </c>
      <c r="G501" s="5">
        <v>0</v>
      </c>
      <c r="H501" s="5">
        <v>2.7</v>
      </c>
      <c r="I501" s="5">
        <v>0.1</v>
      </c>
      <c r="J501" s="5">
        <v>0.3</v>
      </c>
      <c r="K501" s="6">
        <f>IFERROR(database_24_25!$I501/database_24_25!$J501,0)</f>
        <v>0.33333333333333337</v>
      </c>
      <c r="L501" s="5">
        <v>0</v>
      </c>
      <c r="M501" s="5">
        <v>0.2</v>
      </c>
      <c r="N501" s="6">
        <f>IFERROR(database_24_25!$L501/database_24_25!$M501,0)</f>
        <v>0</v>
      </c>
      <c r="O501" s="5">
        <v>0.1</v>
      </c>
      <c r="P501" s="5">
        <f>database_24_25!$Q501/10</f>
        <v>0.1</v>
      </c>
      <c r="Q501" s="5">
        <v>1</v>
      </c>
      <c r="R501" s="6">
        <f>IFERROR(database_24_25!$O501/database_24_25!$P501,0)</f>
        <v>1</v>
      </c>
      <c r="S501" s="5">
        <v>0</v>
      </c>
      <c r="T501" s="5">
        <v>0</v>
      </c>
      <c r="U501" s="6">
        <f>IFERROR(database_24_25!$S501/database_24_25!$T501,0)</f>
        <v>0</v>
      </c>
      <c r="V501" s="5">
        <v>0</v>
      </c>
      <c r="W501" s="5">
        <v>0.4</v>
      </c>
      <c r="X501" s="5">
        <v>0.4</v>
      </c>
      <c r="Y501" s="5">
        <v>0.4</v>
      </c>
      <c r="Z501" s="5">
        <v>0</v>
      </c>
      <c r="AA501" s="5">
        <v>0</v>
      </c>
      <c r="AB501" s="5">
        <v>0.1</v>
      </c>
      <c r="AC501" s="5">
        <v>0.1</v>
      </c>
      <c r="AD501" s="5">
        <v>0.2</v>
      </c>
    </row>
    <row r="502" spans="1:30" x14ac:dyDescent="0.25">
      <c r="A502" s="5">
        <v>5120</v>
      </c>
      <c r="B502" s="5" t="s">
        <v>574</v>
      </c>
      <c r="C502" s="5">
        <v>24</v>
      </c>
      <c r="D502" s="5" t="s">
        <v>49</v>
      </c>
      <c r="E502" s="5" t="s">
        <v>65</v>
      </c>
      <c r="F502" s="5">
        <v>1</v>
      </c>
      <c r="G502" s="5">
        <v>0</v>
      </c>
      <c r="H502" s="5">
        <v>7</v>
      </c>
      <c r="I502" s="5">
        <v>0</v>
      </c>
      <c r="J502" s="5">
        <v>1</v>
      </c>
      <c r="K502" s="6">
        <f>IFERROR(database_24_25!$I502/database_24_25!$J502,0)</f>
        <v>0</v>
      </c>
      <c r="L502" s="5">
        <v>0</v>
      </c>
      <c r="M502" s="5">
        <v>1</v>
      </c>
      <c r="N502" s="6">
        <f>IFERROR(database_24_25!$L502/database_24_25!$M502,0)</f>
        <v>0</v>
      </c>
      <c r="O502" s="5">
        <v>0</v>
      </c>
      <c r="P502" s="5">
        <f>database_24_25!$Q502/10</f>
        <v>0</v>
      </c>
      <c r="Q502" s="5">
        <v>0</v>
      </c>
      <c r="R502" s="6">
        <f>IFERROR(database_24_25!$O502/database_24_25!$P502,0)</f>
        <v>0</v>
      </c>
      <c r="S502" s="5">
        <v>0</v>
      </c>
      <c r="T502" s="5">
        <v>0</v>
      </c>
      <c r="U502" s="6">
        <f>IFERROR(database_24_25!$S502/database_24_25!$T502,0)</f>
        <v>0</v>
      </c>
      <c r="V502" s="5">
        <v>0</v>
      </c>
      <c r="W502" s="5">
        <v>2</v>
      </c>
      <c r="X502" s="5">
        <v>2</v>
      </c>
      <c r="Y502" s="5">
        <v>0</v>
      </c>
      <c r="Z502" s="5">
        <v>0</v>
      </c>
      <c r="AA502" s="5">
        <v>0</v>
      </c>
      <c r="AB502" s="5">
        <v>0</v>
      </c>
      <c r="AC502" s="5">
        <v>0</v>
      </c>
      <c r="AD502" s="5">
        <v>0</v>
      </c>
    </row>
    <row r="503" spans="1:30" x14ac:dyDescent="0.25">
      <c r="A503" s="5">
        <v>5070</v>
      </c>
      <c r="B503" s="5" t="s">
        <v>569</v>
      </c>
      <c r="C503" s="5">
        <v>22</v>
      </c>
      <c r="D503" s="5" t="s">
        <v>49</v>
      </c>
      <c r="E503" s="5" t="s">
        <v>65</v>
      </c>
      <c r="F503" s="5">
        <v>1</v>
      </c>
      <c r="G503" s="5">
        <v>0</v>
      </c>
      <c r="H503" s="5">
        <v>7</v>
      </c>
      <c r="I503" s="5">
        <v>0</v>
      </c>
      <c r="J503" s="5">
        <v>1</v>
      </c>
      <c r="K503" s="6">
        <f>IFERROR(database_24_25!$I503/database_24_25!$J503,0)</f>
        <v>0</v>
      </c>
      <c r="L503" s="5">
        <v>0</v>
      </c>
      <c r="M503" s="5">
        <v>0</v>
      </c>
      <c r="N503" s="6">
        <f>IFERROR(database_24_25!$L503/database_24_25!$M503,0)</f>
        <v>0</v>
      </c>
      <c r="O503" s="5">
        <v>0</v>
      </c>
      <c r="P503" s="5">
        <f>database_24_25!$Q503/10</f>
        <v>1</v>
      </c>
      <c r="Q503" s="5">
        <v>10</v>
      </c>
      <c r="R503" s="6">
        <f>IFERROR(database_24_25!$O503/database_24_25!$P503,0)</f>
        <v>0</v>
      </c>
      <c r="S503" s="5">
        <v>0</v>
      </c>
      <c r="T503" s="5">
        <v>0</v>
      </c>
      <c r="U503" s="6">
        <f>IFERROR(database_24_25!$S503/database_24_25!$T503,0)</f>
        <v>0</v>
      </c>
      <c r="V503" s="5">
        <v>0</v>
      </c>
      <c r="W503" s="5">
        <v>1</v>
      </c>
      <c r="X503" s="5">
        <v>1</v>
      </c>
      <c r="Y503" s="5">
        <v>0</v>
      </c>
      <c r="Z503" s="5">
        <v>0</v>
      </c>
      <c r="AA503" s="5">
        <v>0</v>
      </c>
      <c r="AB503" s="5">
        <v>0</v>
      </c>
      <c r="AC503" s="5">
        <v>1</v>
      </c>
      <c r="AD503" s="5">
        <v>0</v>
      </c>
    </row>
    <row r="504" spans="1:30" x14ac:dyDescent="0.25">
      <c r="A504" s="7">
        <v>5090</v>
      </c>
      <c r="B504" s="7" t="s">
        <v>571</v>
      </c>
      <c r="C504" s="7">
        <v>26</v>
      </c>
      <c r="D504" s="7" t="s">
        <v>47</v>
      </c>
      <c r="E504" s="7" t="s">
        <v>58</v>
      </c>
      <c r="F504" s="7">
        <v>3</v>
      </c>
      <c r="G504" s="7">
        <v>0</v>
      </c>
      <c r="H504" s="7">
        <v>4.3</v>
      </c>
      <c r="I504" s="7">
        <v>0</v>
      </c>
      <c r="J504" s="7">
        <v>0.7</v>
      </c>
      <c r="K504" s="6">
        <f>IFERROR(database_24_25!$I504/database_24_25!$J504,0)</f>
        <v>0</v>
      </c>
      <c r="L504" s="7">
        <v>0</v>
      </c>
      <c r="M504" s="7">
        <v>0.7</v>
      </c>
      <c r="N504" s="6">
        <f>IFERROR(database_24_25!$L504/database_24_25!$M504,0)</f>
        <v>0</v>
      </c>
      <c r="O504" s="7">
        <v>0</v>
      </c>
      <c r="P504" s="5">
        <f>database_24_25!$Q504/10</f>
        <v>0</v>
      </c>
      <c r="Q504" s="7">
        <v>0</v>
      </c>
      <c r="R504" s="6">
        <f>IFERROR(database_24_25!$O504/database_24_25!$P504,0)</f>
        <v>0</v>
      </c>
      <c r="S504" s="7">
        <v>0</v>
      </c>
      <c r="T504" s="7">
        <v>0</v>
      </c>
      <c r="U504" s="6">
        <f>IFERROR(database_24_25!$S504/database_24_25!$T504,0)</f>
        <v>0</v>
      </c>
      <c r="V504" s="7">
        <v>0.3</v>
      </c>
      <c r="W504" s="7">
        <v>1</v>
      </c>
      <c r="X504" s="7">
        <v>1.3</v>
      </c>
      <c r="Y504" s="7">
        <v>2.2999999999999998</v>
      </c>
      <c r="Z504" s="7">
        <v>0</v>
      </c>
      <c r="AA504" s="7">
        <v>0</v>
      </c>
      <c r="AB504" s="7">
        <v>0</v>
      </c>
      <c r="AC504" s="7">
        <v>0.3</v>
      </c>
      <c r="AD504" s="7">
        <v>0</v>
      </c>
    </row>
    <row r="505" spans="1:30" x14ac:dyDescent="0.25">
      <c r="A505" s="7">
        <v>5030</v>
      </c>
      <c r="B505" s="7" t="s">
        <v>565</v>
      </c>
      <c r="C505" s="7">
        <v>23</v>
      </c>
      <c r="D505" s="7" t="s">
        <v>47</v>
      </c>
      <c r="E505" s="7" t="s">
        <v>65</v>
      </c>
      <c r="F505" s="7">
        <v>2</v>
      </c>
      <c r="G505" s="7">
        <v>0</v>
      </c>
      <c r="H505" s="7">
        <v>3.5</v>
      </c>
      <c r="I505" s="7">
        <v>0</v>
      </c>
      <c r="J505" s="7">
        <v>0</v>
      </c>
      <c r="K505" s="6">
        <f>IFERROR(database_24_25!$I505/database_24_25!$J505,0)</f>
        <v>0</v>
      </c>
      <c r="L505" s="7">
        <v>0</v>
      </c>
      <c r="M505" s="7">
        <v>0</v>
      </c>
      <c r="N505" s="6">
        <f>IFERROR(database_24_25!$L505/database_24_25!$M505,0)</f>
        <v>0</v>
      </c>
      <c r="O505" s="7">
        <v>0</v>
      </c>
      <c r="P505" s="5">
        <f>database_24_25!$Q505/10</f>
        <v>0</v>
      </c>
      <c r="Q505" s="7">
        <v>0</v>
      </c>
      <c r="R505" s="6">
        <f>IFERROR(database_24_25!$O505/database_24_25!$P505,0)</f>
        <v>0</v>
      </c>
      <c r="S505" s="7">
        <v>0</v>
      </c>
      <c r="T505" s="7">
        <v>0</v>
      </c>
      <c r="U505" s="6">
        <f>IFERROR(database_24_25!$S505/database_24_25!$T505,0)</f>
        <v>0</v>
      </c>
      <c r="V505" s="7">
        <v>0</v>
      </c>
      <c r="W505" s="7">
        <v>0.5</v>
      </c>
      <c r="X505" s="7">
        <v>0.5</v>
      </c>
      <c r="Y505" s="7">
        <v>0</v>
      </c>
      <c r="Z505" s="7">
        <v>0</v>
      </c>
      <c r="AA505" s="7">
        <v>0</v>
      </c>
      <c r="AB505" s="7">
        <v>0</v>
      </c>
      <c r="AC505" s="7">
        <v>0.5</v>
      </c>
      <c r="AD505" s="7">
        <v>0</v>
      </c>
    </row>
    <row r="506" spans="1:30" x14ac:dyDescent="0.25">
      <c r="A506" s="7">
        <v>5010</v>
      </c>
      <c r="B506" s="7" t="s">
        <v>563</v>
      </c>
      <c r="C506" s="7">
        <v>22</v>
      </c>
      <c r="D506" s="7" t="s">
        <v>47</v>
      </c>
      <c r="E506" s="7" t="s">
        <v>32</v>
      </c>
      <c r="F506" s="7">
        <v>1</v>
      </c>
      <c r="G506" s="7">
        <v>0</v>
      </c>
      <c r="H506" s="7">
        <v>11</v>
      </c>
      <c r="I506" s="7">
        <v>0</v>
      </c>
      <c r="J506" s="7">
        <v>3</v>
      </c>
      <c r="K506" s="6">
        <f>IFERROR(database_24_25!$I506/database_24_25!$J506,0)</f>
        <v>0</v>
      </c>
      <c r="L506" s="7">
        <v>0</v>
      </c>
      <c r="M506" s="7">
        <v>2</v>
      </c>
      <c r="N506" s="6">
        <f>IFERROR(database_24_25!$L506/database_24_25!$M506,0)</f>
        <v>0</v>
      </c>
      <c r="O506" s="7">
        <v>0</v>
      </c>
      <c r="P506" s="5">
        <f>database_24_25!$Q506/10</f>
        <v>1</v>
      </c>
      <c r="Q506" s="7">
        <v>10</v>
      </c>
      <c r="R506" s="6">
        <f>IFERROR(database_24_25!$O506/database_24_25!$P506,0)</f>
        <v>0</v>
      </c>
      <c r="S506" s="7">
        <v>0</v>
      </c>
      <c r="T506" s="7">
        <v>0</v>
      </c>
      <c r="U506" s="6">
        <f>IFERROR(database_24_25!$S506/database_24_25!$T506,0)</f>
        <v>0</v>
      </c>
      <c r="V506" s="7">
        <v>0</v>
      </c>
      <c r="W506" s="7">
        <v>5</v>
      </c>
      <c r="X506" s="7">
        <v>5</v>
      </c>
      <c r="Y506" s="7">
        <v>2</v>
      </c>
      <c r="Z506" s="7">
        <v>0</v>
      </c>
      <c r="AA506" s="7">
        <v>0</v>
      </c>
      <c r="AB506" s="7">
        <v>0</v>
      </c>
      <c r="AC506" s="7">
        <v>2</v>
      </c>
      <c r="AD506" s="7">
        <v>0</v>
      </c>
    </row>
    <row r="507" spans="1:30" x14ac:dyDescent="0.25">
      <c r="A507" s="5">
        <v>5110</v>
      </c>
      <c r="B507" s="5" t="s">
        <v>573</v>
      </c>
      <c r="C507" s="5">
        <v>25</v>
      </c>
      <c r="D507" s="5" t="s">
        <v>124</v>
      </c>
      <c r="E507" s="5" t="s">
        <v>65</v>
      </c>
      <c r="F507" s="5">
        <v>1</v>
      </c>
      <c r="G507" s="5">
        <v>0</v>
      </c>
      <c r="H507" s="5">
        <v>6</v>
      </c>
      <c r="I507" s="5">
        <v>0</v>
      </c>
      <c r="J507" s="5">
        <v>0</v>
      </c>
      <c r="K507" s="6">
        <f>IFERROR(database_24_25!$I507/database_24_25!$J507,0)</f>
        <v>0</v>
      </c>
      <c r="L507" s="5">
        <v>0</v>
      </c>
      <c r="M507" s="5">
        <v>0</v>
      </c>
      <c r="N507" s="6">
        <f>IFERROR(database_24_25!$L507/database_24_25!$M507,0)</f>
        <v>0</v>
      </c>
      <c r="O507" s="5">
        <v>0</v>
      </c>
      <c r="P507" s="5">
        <f>database_24_25!$Q507/10</f>
        <v>0</v>
      </c>
      <c r="Q507" s="5">
        <v>0</v>
      </c>
      <c r="R507" s="6">
        <f>IFERROR(database_24_25!$O507/database_24_25!$P507,0)</f>
        <v>0</v>
      </c>
      <c r="S507" s="5">
        <v>0</v>
      </c>
      <c r="T507" s="5">
        <v>0</v>
      </c>
      <c r="U507" s="6">
        <f>IFERROR(database_24_25!$S507/database_24_25!$T507,0)</f>
        <v>0</v>
      </c>
      <c r="V507" s="5">
        <v>0</v>
      </c>
      <c r="W507" s="5">
        <v>1</v>
      </c>
      <c r="X507" s="5">
        <v>1</v>
      </c>
      <c r="Y507" s="5">
        <v>0</v>
      </c>
      <c r="Z507" s="5">
        <v>0</v>
      </c>
      <c r="AA507" s="5">
        <v>0</v>
      </c>
      <c r="AB507" s="5">
        <v>0</v>
      </c>
      <c r="AC507" s="5">
        <v>1</v>
      </c>
      <c r="AD507" s="5">
        <v>0</v>
      </c>
    </row>
    <row r="508" spans="1:30" x14ac:dyDescent="0.25">
      <c r="A508" s="5">
        <v>5100</v>
      </c>
      <c r="B508" s="5" t="s">
        <v>572</v>
      </c>
      <c r="C508" s="5">
        <v>26</v>
      </c>
      <c r="D508" s="5" t="s">
        <v>39</v>
      </c>
      <c r="E508" s="5" t="s">
        <v>58</v>
      </c>
      <c r="F508" s="5">
        <v>1</v>
      </c>
      <c r="G508" s="5">
        <v>0</v>
      </c>
      <c r="H508" s="5">
        <v>5</v>
      </c>
      <c r="I508" s="5">
        <v>0</v>
      </c>
      <c r="J508" s="5">
        <v>0</v>
      </c>
      <c r="K508" s="6">
        <f>IFERROR(database_24_25!$I508/database_24_25!$J508,0)</f>
        <v>0</v>
      </c>
      <c r="L508" s="5">
        <v>0</v>
      </c>
      <c r="M508" s="5">
        <v>0</v>
      </c>
      <c r="N508" s="6">
        <f>IFERROR(database_24_25!$L508/database_24_25!$M508,0)</f>
        <v>0</v>
      </c>
      <c r="O508" s="5">
        <v>0</v>
      </c>
      <c r="P508" s="5">
        <f>database_24_25!$Q508/10</f>
        <v>0</v>
      </c>
      <c r="Q508" s="5">
        <v>0</v>
      </c>
      <c r="R508" s="6">
        <f>IFERROR(database_24_25!$O508/database_24_25!$P508,0)</f>
        <v>0</v>
      </c>
      <c r="S508" s="5">
        <v>0</v>
      </c>
      <c r="T508" s="5">
        <v>0</v>
      </c>
      <c r="U508" s="6">
        <f>IFERROR(database_24_25!$S508/database_24_25!$T508,0)</f>
        <v>0</v>
      </c>
      <c r="V508" s="5">
        <v>0</v>
      </c>
      <c r="W508" s="5">
        <v>1</v>
      </c>
      <c r="X508" s="5">
        <v>1</v>
      </c>
      <c r="Y508" s="5">
        <v>2</v>
      </c>
      <c r="Z508" s="5">
        <v>0</v>
      </c>
      <c r="AA508" s="5">
        <v>0</v>
      </c>
      <c r="AB508" s="5">
        <v>0</v>
      </c>
      <c r="AC508" s="5">
        <v>0</v>
      </c>
      <c r="AD508" s="5">
        <v>0</v>
      </c>
    </row>
    <row r="509" spans="1:30" x14ac:dyDescent="0.25">
      <c r="A509" s="5">
        <v>5040</v>
      </c>
      <c r="B509" s="5" t="s">
        <v>566</v>
      </c>
      <c r="C509" s="5">
        <v>24</v>
      </c>
      <c r="D509" s="5" t="s">
        <v>31</v>
      </c>
      <c r="E509" s="5" t="s">
        <v>58</v>
      </c>
      <c r="F509" s="5">
        <v>4</v>
      </c>
      <c r="G509" s="5">
        <v>0</v>
      </c>
      <c r="H509" s="5">
        <v>1.8</v>
      </c>
      <c r="I509" s="5">
        <v>0</v>
      </c>
      <c r="J509" s="5">
        <v>0.8</v>
      </c>
      <c r="K509" s="6">
        <f>IFERROR(database_24_25!$I509/database_24_25!$J509,0)</f>
        <v>0</v>
      </c>
      <c r="L509" s="5">
        <v>0</v>
      </c>
      <c r="M509" s="5">
        <v>0.5</v>
      </c>
      <c r="N509" s="6">
        <f>IFERROR(database_24_25!$L509/database_24_25!$M509,0)</f>
        <v>0</v>
      </c>
      <c r="O509" s="5">
        <v>0</v>
      </c>
      <c r="P509" s="5">
        <f>database_24_25!$Q509/10</f>
        <v>0.3</v>
      </c>
      <c r="Q509" s="5">
        <v>3</v>
      </c>
      <c r="R509" s="6">
        <f>IFERROR(database_24_25!$O509/database_24_25!$P509,0)</f>
        <v>0</v>
      </c>
      <c r="S509" s="5">
        <v>0</v>
      </c>
      <c r="T509" s="5">
        <v>0</v>
      </c>
      <c r="U509" s="6">
        <f>IFERROR(database_24_25!$S509/database_24_25!$T509,0)</f>
        <v>0</v>
      </c>
      <c r="V509" s="5">
        <v>0</v>
      </c>
      <c r="W509" s="5">
        <v>0</v>
      </c>
      <c r="X509" s="5">
        <v>0</v>
      </c>
      <c r="Y509" s="5">
        <v>0</v>
      </c>
      <c r="Z509" s="5">
        <v>0</v>
      </c>
      <c r="AA509" s="5">
        <v>0</v>
      </c>
      <c r="AB509" s="5">
        <v>0</v>
      </c>
      <c r="AC509" s="5">
        <v>0</v>
      </c>
      <c r="AD509" s="5">
        <v>0</v>
      </c>
    </row>
    <row r="510" spans="1:30" x14ac:dyDescent="0.25">
      <c r="A510" s="5">
        <v>5060</v>
      </c>
      <c r="B510" s="5" t="s">
        <v>568</v>
      </c>
      <c r="C510" s="5">
        <v>37</v>
      </c>
      <c r="D510" s="5" t="s">
        <v>63</v>
      </c>
      <c r="E510" s="5" t="s">
        <v>65</v>
      </c>
      <c r="F510" s="5">
        <v>7</v>
      </c>
      <c r="G510" s="5">
        <v>0</v>
      </c>
      <c r="H510" s="5">
        <v>3.7</v>
      </c>
      <c r="I510" s="5">
        <v>0</v>
      </c>
      <c r="J510" s="5">
        <v>0.3</v>
      </c>
      <c r="K510" s="6">
        <f>IFERROR(database_24_25!$I510/database_24_25!$J510,0)</f>
        <v>0</v>
      </c>
      <c r="L510" s="5">
        <v>0</v>
      </c>
      <c r="M510" s="5">
        <v>0.3</v>
      </c>
      <c r="N510" s="6">
        <f>IFERROR(database_24_25!$L510/database_24_25!$M510,0)</f>
        <v>0</v>
      </c>
      <c r="O510" s="5">
        <v>0</v>
      </c>
      <c r="P510" s="5">
        <f>database_24_25!$Q510/10</f>
        <v>0</v>
      </c>
      <c r="Q510" s="5">
        <v>0</v>
      </c>
      <c r="R510" s="6">
        <f>IFERROR(database_24_25!$O510/database_24_25!$P510,0)</f>
        <v>0</v>
      </c>
      <c r="S510" s="5">
        <v>0</v>
      </c>
      <c r="T510" s="5">
        <v>0</v>
      </c>
      <c r="U510" s="6">
        <f>IFERROR(database_24_25!$S510/database_24_25!$T510,0)</f>
        <v>0</v>
      </c>
      <c r="V510" s="5">
        <v>0.3</v>
      </c>
      <c r="W510" s="5">
        <v>0</v>
      </c>
      <c r="X510" s="5">
        <v>0.3</v>
      </c>
      <c r="Y510" s="5">
        <v>1.3</v>
      </c>
      <c r="Z510" s="5">
        <v>0</v>
      </c>
      <c r="AA510" s="5">
        <v>0</v>
      </c>
      <c r="AB510" s="5">
        <v>0.1</v>
      </c>
      <c r="AC510" s="5">
        <v>0.7</v>
      </c>
      <c r="AD510" s="5">
        <v>0</v>
      </c>
    </row>
    <row r="511" spans="1:30" x14ac:dyDescent="0.25">
      <c r="A511" s="7">
        <v>5020</v>
      </c>
      <c r="B511" s="7" t="s">
        <v>564</v>
      </c>
      <c r="C511" s="7">
        <v>23</v>
      </c>
      <c r="D511" s="7" t="s">
        <v>70</v>
      </c>
      <c r="E511" s="7" t="s">
        <v>58</v>
      </c>
      <c r="F511" s="7">
        <v>2</v>
      </c>
      <c r="G511" s="7">
        <v>0</v>
      </c>
      <c r="H511" s="7">
        <v>2</v>
      </c>
      <c r="I511" s="7">
        <v>0</v>
      </c>
      <c r="J511" s="7">
        <v>0.5</v>
      </c>
      <c r="K511" s="6">
        <f>IFERROR(database_24_25!$I511/database_24_25!$J511,0)</f>
        <v>0</v>
      </c>
      <c r="L511" s="7">
        <v>0</v>
      </c>
      <c r="M511" s="7">
        <v>0.5</v>
      </c>
      <c r="N511" s="6">
        <f>IFERROR(database_24_25!$L511/database_24_25!$M511,0)</f>
        <v>0</v>
      </c>
      <c r="O511" s="7">
        <v>0</v>
      </c>
      <c r="P511" s="5">
        <f>database_24_25!$Q511/10</f>
        <v>0</v>
      </c>
      <c r="Q511" s="7">
        <v>0</v>
      </c>
      <c r="R511" s="6">
        <f>IFERROR(database_24_25!$O511/database_24_25!$P511,0)</f>
        <v>0</v>
      </c>
      <c r="S511" s="7">
        <v>0</v>
      </c>
      <c r="T511" s="7">
        <v>0</v>
      </c>
      <c r="U511" s="6">
        <f>IFERROR(database_24_25!$S511/database_24_25!$T511,0)</f>
        <v>0</v>
      </c>
      <c r="V511" s="7">
        <v>0</v>
      </c>
      <c r="W511" s="7">
        <v>1</v>
      </c>
      <c r="X511" s="7">
        <v>1</v>
      </c>
      <c r="Y511" s="7">
        <v>0</v>
      </c>
      <c r="Z511" s="7">
        <v>0</v>
      </c>
      <c r="AA511" s="7">
        <v>0</v>
      </c>
      <c r="AB511" s="7">
        <v>1</v>
      </c>
      <c r="AC511" s="7">
        <v>0</v>
      </c>
      <c r="AD511" s="7">
        <v>0</v>
      </c>
    </row>
    <row r="512" spans="1:30" x14ac:dyDescent="0.25">
      <c r="A512" s="7">
        <v>5130</v>
      </c>
      <c r="B512" s="7" t="s">
        <v>575</v>
      </c>
      <c r="C512" s="7">
        <v>25</v>
      </c>
      <c r="D512" s="7" t="s">
        <v>73</v>
      </c>
      <c r="E512" s="7" t="s">
        <v>65</v>
      </c>
      <c r="F512" s="7">
        <v>2</v>
      </c>
      <c r="G512" s="7">
        <v>0</v>
      </c>
      <c r="H512" s="7">
        <v>6.5</v>
      </c>
      <c r="I512" s="7">
        <v>0</v>
      </c>
      <c r="J512" s="7">
        <v>2.5</v>
      </c>
      <c r="K512" s="6">
        <f>IFERROR(database_24_25!$I512/database_24_25!$J512,0)</f>
        <v>0</v>
      </c>
      <c r="L512" s="7">
        <v>0</v>
      </c>
      <c r="M512" s="7">
        <v>2.5</v>
      </c>
      <c r="N512" s="6">
        <f>IFERROR(database_24_25!$L512/database_24_25!$M512,0)</f>
        <v>0</v>
      </c>
      <c r="O512" s="7">
        <v>0</v>
      </c>
      <c r="P512" s="5">
        <f>database_24_25!$Q512/10</f>
        <v>0</v>
      </c>
      <c r="Q512" s="7">
        <v>0</v>
      </c>
      <c r="R512" s="6">
        <f>IFERROR(database_24_25!$O512/database_24_25!$P512,0)</f>
        <v>0</v>
      </c>
      <c r="S512" s="7">
        <v>0</v>
      </c>
      <c r="T512" s="7">
        <v>0</v>
      </c>
      <c r="U512" s="6">
        <f>IFERROR(database_24_25!$S512/database_24_25!$T512,0)</f>
        <v>0</v>
      </c>
      <c r="V512" s="7">
        <v>0</v>
      </c>
      <c r="W512" s="7">
        <v>1</v>
      </c>
      <c r="X512" s="7">
        <v>1</v>
      </c>
      <c r="Y512" s="7">
        <v>0.5</v>
      </c>
      <c r="Z512" s="7">
        <v>0</v>
      </c>
      <c r="AA512" s="7">
        <v>0</v>
      </c>
      <c r="AB512" s="7">
        <v>0</v>
      </c>
      <c r="AC512" s="7">
        <v>0.5</v>
      </c>
      <c r="AD512" s="7">
        <v>0</v>
      </c>
    </row>
    <row r="513" spans="1:30" x14ac:dyDescent="0.25">
      <c r="A513" s="5">
        <v>5080</v>
      </c>
      <c r="B513" s="5" t="s">
        <v>570</v>
      </c>
      <c r="C513" s="5">
        <v>23</v>
      </c>
      <c r="D513" s="5" t="s">
        <v>73</v>
      </c>
      <c r="E513" s="5" t="s">
        <v>32</v>
      </c>
      <c r="F513" s="5">
        <v>2</v>
      </c>
      <c r="G513" s="5">
        <v>0</v>
      </c>
      <c r="H513" s="5">
        <v>2.5</v>
      </c>
      <c r="I513" s="5">
        <v>0</v>
      </c>
      <c r="J513" s="5">
        <v>1</v>
      </c>
      <c r="K513" s="6">
        <f>IFERROR(database_24_25!$I513/database_24_25!$J513,0)</f>
        <v>0</v>
      </c>
      <c r="L513" s="5">
        <v>0</v>
      </c>
      <c r="M513" s="5">
        <v>1</v>
      </c>
      <c r="N513" s="6">
        <f>IFERROR(database_24_25!$L513/database_24_25!$M513,0)</f>
        <v>0</v>
      </c>
      <c r="O513" s="5">
        <v>0</v>
      </c>
      <c r="P513" s="5">
        <f>database_24_25!$Q513/10</f>
        <v>0</v>
      </c>
      <c r="Q513" s="5">
        <v>0</v>
      </c>
      <c r="R513" s="6">
        <f>IFERROR(database_24_25!$O513/database_24_25!$P513,0)</f>
        <v>0</v>
      </c>
      <c r="S513" s="5">
        <v>0</v>
      </c>
      <c r="T513" s="5">
        <v>0</v>
      </c>
      <c r="U513" s="6">
        <f>IFERROR(database_24_25!$S513/database_24_25!$T513,0)</f>
        <v>0</v>
      </c>
      <c r="V513" s="5">
        <v>0</v>
      </c>
      <c r="W513" s="5">
        <v>0</v>
      </c>
      <c r="X513" s="5">
        <v>0</v>
      </c>
      <c r="Y513" s="5">
        <v>0</v>
      </c>
      <c r="Z513" s="5">
        <v>0</v>
      </c>
      <c r="AA513" s="5">
        <v>0</v>
      </c>
      <c r="AB513" s="5">
        <v>0</v>
      </c>
      <c r="AC513" s="5">
        <v>0.5</v>
      </c>
      <c r="AD513" s="5">
        <v>0</v>
      </c>
    </row>
    <row r="514" spans="1:30" x14ac:dyDescent="0.25">
      <c r="A514" s="7">
        <v>5050</v>
      </c>
      <c r="B514" s="7" t="s">
        <v>567</v>
      </c>
      <c r="C514" s="7">
        <v>24</v>
      </c>
      <c r="D514" s="7" t="s">
        <v>43</v>
      </c>
      <c r="E514" s="7" t="s">
        <v>65</v>
      </c>
      <c r="F514" s="7">
        <v>12</v>
      </c>
      <c r="G514" s="7">
        <v>0</v>
      </c>
      <c r="H514" s="7">
        <v>2.2000000000000002</v>
      </c>
      <c r="I514" s="7">
        <v>0</v>
      </c>
      <c r="J514" s="7">
        <v>0.5</v>
      </c>
      <c r="K514" s="6">
        <f>IFERROR(database_24_25!$I514/database_24_25!$J514,0)</f>
        <v>0</v>
      </c>
      <c r="L514" s="7">
        <v>0</v>
      </c>
      <c r="M514" s="7">
        <v>0.3</v>
      </c>
      <c r="N514" s="6">
        <f>IFERROR(database_24_25!$L514/database_24_25!$M514,0)</f>
        <v>0</v>
      </c>
      <c r="O514" s="7">
        <v>0</v>
      </c>
      <c r="P514" s="5">
        <f>database_24_25!$Q514/10</f>
        <v>0.2</v>
      </c>
      <c r="Q514" s="7">
        <v>2</v>
      </c>
      <c r="R514" s="6">
        <f>IFERROR(database_24_25!$O514/database_24_25!$P514,0)</f>
        <v>0</v>
      </c>
      <c r="S514" s="7">
        <v>0</v>
      </c>
      <c r="T514" s="7">
        <v>0</v>
      </c>
      <c r="U514" s="6">
        <f>IFERROR(database_24_25!$S514/database_24_25!$T514,0)</f>
        <v>0</v>
      </c>
      <c r="V514" s="7">
        <v>0</v>
      </c>
      <c r="W514" s="7">
        <v>0.2</v>
      </c>
      <c r="X514" s="7">
        <v>0.2</v>
      </c>
      <c r="Y514" s="7">
        <v>0.1</v>
      </c>
      <c r="Z514" s="7">
        <v>0</v>
      </c>
      <c r="AA514" s="7">
        <v>0.1</v>
      </c>
      <c r="AB514" s="7">
        <v>0.1</v>
      </c>
      <c r="AC514" s="7">
        <v>0.3</v>
      </c>
      <c r="AD514" s="7">
        <v>0</v>
      </c>
    </row>
    <row r="515" spans="1:30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</row>
    <row r="516" spans="1:30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</row>
    <row r="517" spans="1:30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</row>
    <row r="518" spans="1:30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</row>
    <row r="519" spans="1:30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</row>
    <row r="520" spans="1:30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</row>
    <row r="521" spans="1:30" x14ac:dyDescent="0.25">
      <c r="H521" s="2"/>
      <c r="I521" s="2"/>
      <c r="J521" s="2"/>
      <c r="K521" s="2"/>
      <c r="L521" s="2"/>
      <c r="M521" s="2"/>
      <c r="N521" s="2"/>
      <c r="O521" s="2"/>
      <c r="P521" s="2"/>
      <c r="Q521" s="2">
        <v>76</v>
      </c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</row>
    <row r="522" spans="1:30" x14ac:dyDescent="0.25"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</row>
    <row r="523" spans="1:30" x14ac:dyDescent="0.25"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</row>
    <row r="524" spans="1:30" x14ac:dyDescent="0.25"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</row>
    <row r="525" spans="1:30" x14ac:dyDescent="0.25"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</row>
    <row r="526" spans="1:30" x14ac:dyDescent="0.25"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</row>
    <row r="527" spans="1:30" x14ac:dyDescent="0.25"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8F08A-2DEE-431F-A640-37108B320D60}">
  <dimension ref="B1:R13"/>
  <sheetViews>
    <sheetView showGridLines="0" showRowColHeaders="0" zoomScale="85" zoomScaleNormal="85" workbookViewId="0">
      <selection activeCell="G17" sqref="G17"/>
    </sheetView>
  </sheetViews>
  <sheetFormatPr baseColWidth="10" defaultRowHeight="15" x14ac:dyDescent="0.25"/>
  <cols>
    <col min="2" max="2" width="24.140625" bestFit="1" customWidth="1"/>
    <col min="3" max="3" width="12.28515625" bestFit="1" customWidth="1"/>
    <col min="4" max="4" width="14.5703125" bestFit="1" customWidth="1"/>
    <col min="5" max="5" width="12.7109375" bestFit="1" customWidth="1"/>
    <col min="6" max="6" width="11.5703125" bestFit="1" customWidth="1"/>
    <col min="7" max="7" width="11.85546875" bestFit="1" customWidth="1"/>
    <col min="8" max="8" width="13.140625" bestFit="1" customWidth="1"/>
    <col min="9" max="9" width="11.5703125" bestFit="1" customWidth="1"/>
    <col min="10" max="10" width="12.7109375" bestFit="1" customWidth="1"/>
    <col min="11" max="12" width="13.28515625" bestFit="1" customWidth="1"/>
    <col min="13" max="13" width="12.85546875" bestFit="1" customWidth="1"/>
    <col min="14" max="14" width="12.7109375" bestFit="1" customWidth="1"/>
    <col min="15" max="15" width="12.42578125" bestFit="1" customWidth="1"/>
    <col min="16" max="16" width="12.5703125" bestFit="1" customWidth="1"/>
    <col min="17" max="17" width="13.140625" bestFit="1" customWidth="1"/>
    <col min="18" max="18" width="11.5703125" bestFit="1" customWidth="1"/>
    <col min="19" max="20" width="4" bestFit="1" customWidth="1"/>
    <col min="21" max="21" width="2" bestFit="1" customWidth="1"/>
    <col min="22" max="30" width="4" bestFit="1" customWidth="1"/>
    <col min="31" max="31" width="2" bestFit="1" customWidth="1"/>
    <col min="32" max="40" width="4" bestFit="1" customWidth="1"/>
    <col min="41" max="41" width="2" bestFit="1" customWidth="1"/>
    <col min="42" max="50" width="4" bestFit="1" customWidth="1"/>
    <col min="51" max="51" width="2" bestFit="1" customWidth="1"/>
    <col min="52" max="60" width="4" bestFit="1" customWidth="1"/>
    <col min="61" max="61" width="2" bestFit="1" customWidth="1"/>
    <col min="62" max="70" width="4" bestFit="1" customWidth="1"/>
    <col min="71" max="71" width="2" bestFit="1" customWidth="1"/>
    <col min="72" max="79" width="4" bestFit="1" customWidth="1"/>
    <col min="80" max="80" width="2" bestFit="1" customWidth="1"/>
    <col min="81" max="88" width="4" bestFit="1" customWidth="1"/>
    <col min="89" max="89" width="2" bestFit="1" customWidth="1"/>
    <col min="90" max="97" width="4" bestFit="1" customWidth="1"/>
    <col min="98" max="98" width="3" bestFit="1" customWidth="1"/>
    <col min="99" max="122" width="5" bestFit="1" customWidth="1"/>
    <col min="123" max="123" width="3" bestFit="1" customWidth="1"/>
    <col min="124" max="127" width="5" bestFit="1" customWidth="1"/>
    <col min="128" max="128" width="3" bestFit="1" customWidth="1"/>
    <col min="129" max="136" width="5" bestFit="1" customWidth="1"/>
    <col min="137" max="137" width="3" bestFit="1" customWidth="1"/>
    <col min="138" max="196" width="5" bestFit="1" customWidth="1"/>
    <col min="197" max="197" width="3" bestFit="1" customWidth="1"/>
    <col min="198" max="198" width="5" bestFit="1" customWidth="1"/>
    <col min="199" max="199" width="3" bestFit="1" customWidth="1"/>
    <col min="200" max="201" width="5" bestFit="1" customWidth="1"/>
    <col min="202" max="202" width="12.5703125" bestFit="1" customWidth="1"/>
  </cols>
  <sheetData>
    <row r="1" spans="2:18" x14ac:dyDescent="0.25">
      <c r="B1" s="33" t="s">
        <v>4</v>
      </c>
      <c r="C1" s="29" t="s">
        <v>578</v>
      </c>
    </row>
    <row r="3" spans="2:18" x14ac:dyDescent="0.25">
      <c r="B3" s="26" t="s">
        <v>579</v>
      </c>
      <c r="C3" s="27" t="s">
        <v>592</v>
      </c>
      <c r="D3" s="28" t="s">
        <v>581</v>
      </c>
      <c r="E3" s="28" t="s">
        <v>591</v>
      </c>
      <c r="F3" s="28" t="s">
        <v>590</v>
      </c>
      <c r="G3" s="28" t="s">
        <v>593</v>
      </c>
      <c r="H3" s="28" t="s">
        <v>594</v>
      </c>
      <c r="I3" s="28" t="s">
        <v>595</v>
      </c>
      <c r="J3" s="28" t="s">
        <v>596</v>
      </c>
      <c r="K3" s="28" t="s">
        <v>584</v>
      </c>
      <c r="L3" s="28" t="s">
        <v>585</v>
      </c>
      <c r="M3" s="28" t="s">
        <v>583</v>
      </c>
      <c r="N3" s="28" t="s">
        <v>582</v>
      </c>
      <c r="O3" s="28" t="s">
        <v>586</v>
      </c>
      <c r="P3" s="28" t="s">
        <v>587</v>
      </c>
      <c r="Q3" s="28" t="s">
        <v>588</v>
      </c>
      <c r="R3" s="29" t="s">
        <v>589</v>
      </c>
    </row>
    <row r="4" spans="2:18" x14ac:dyDescent="0.25">
      <c r="B4" s="41" t="s">
        <v>28</v>
      </c>
      <c r="C4" s="21">
        <v>35.1</v>
      </c>
      <c r="D4" s="22">
        <v>32.4</v>
      </c>
      <c r="E4" s="22">
        <v>0.7</v>
      </c>
      <c r="F4" s="22">
        <v>0.2</v>
      </c>
      <c r="G4" s="22">
        <v>12.7</v>
      </c>
      <c r="H4" s="22">
        <v>21</v>
      </c>
      <c r="I4" s="22">
        <v>6.8</v>
      </c>
      <c r="J4" s="22">
        <v>11.3</v>
      </c>
      <c r="K4" s="22">
        <v>2</v>
      </c>
      <c r="L4" s="22">
        <v>9.6</v>
      </c>
      <c r="M4" s="22">
        <v>11.7</v>
      </c>
      <c r="N4" s="22">
        <v>6</v>
      </c>
      <c r="O4" s="22">
        <v>0.8</v>
      </c>
      <c r="P4" s="22">
        <v>1.5</v>
      </c>
      <c r="Q4" s="22">
        <v>3.3</v>
      </c>
      <c r="R4" s="32">
        <v>2.5</v>
      </c>
    </row>
    <row r="5" spans="2:18" x14ac:dyDescent="0.25">
      <c r="B5" s="42" t="s">
        <v>30</v>
      </c>
      <c r="C5" s="24">
        <v>34.4</v>
      </c>
      <c r="D5" s="15">
        <v>31.2</v>
      </c>
      <c r="E5" s="15">
        <v>6</v>
      </c>
      <c r="F5" s="15">
        <v>2.1</v>
      </c>
      <c r="G5" s="15">
        <v>11</v>
      </c>
      <c r="H5" s="15">
        <v>21</v>
      </c>
      <c r="I5" s="15">
        <v>7</v>
      </c>
      <c r="J5" s="15">
        <v>7.9</v>
      </c>
      <c r="K5" s="15">
        <v>0.8</v>
      </c>
      <c r="L5" s="15">
        <v>4.5999999999999996</v>
      </c>
      <c r="M5" s="15">
        <v>5.4</v>
      </c>
      <c r="N5" s="15">
        <v>6.1</v>
      </c>
      <c r="O5" s="15">
        <v>2</v>
      </c>
      <c r="P5" s="15">
        <v>1.1000000000000001</v>
      </c>
      <c r="Q5" s="15">
        <v>2.6</v>
      </c>
      <c r="R5" s="30">
        <v>2.1</v>
      </c>
    </row>
    <row r="6" spans="2:18" x14ac:dyDescent="0.25">
      <c r="B6" s="42" t="s">
        <v>33</v>
      </c>
      <c r="C6" s="24">
        <v>36.9</v>
      </c>
      <c r="D6" s="15">
        <v>31</v>
      </c>
      <c r="E6" s="15">
        <v>4.7</v>
      </c>
      <c r="F6" s="15">
        <v>2.2999999999999998</v>
      </c>
      <c r="G6" s="15">
        <v>11.8</v>
      </c>
      <c r="H6" s="15">
        <v>21.3</v>
      </c>
      <c r="I6" s="15">
        <v>5.2</v>
      </c>
      <c r="J6" s="15">
        <v>6.5</v>
      </c>
      <c r="K6" s="15">
        <v>3.5</v>
      </c>
      <c r="L6" s="15">
        <v>9.6999999999999993</v>
      </c>
      <c r="M6" s="15">
        <v>13.2</v>
      </c>
      <c r="N6" s="15">
        <v>9.6999999999999993</v>
      </c>
      <c r="O6" s="15">
        <v>1.7</v>
      </c>
      <c r="P6" s="15">
        <v>0.6</v>
      </c>
      <c r="Q6" s="15">
        <v>3.3</v>
      </c>
      <c r="R6" s="30">
        <v>2.1</v>
      </c>
    </row>
    <row r="7" spans="2:18" x14ac:dyDescent="0.25">
      <c r="B7" s="42" t="s">
        <v>36</v>
      </c>
      <c r="C7" s="24">
        <v>33.700000000000003</v>
      </c>
      <c r="D7" s="15">
        <v>30.1</v>
      </c>
      <c r="E7" s="15">
        <v>13</v>
      </c>
      <c r="F7" s="15">
        <v>4.5</v>
      </c>
      <c r="G7" s="15">
        <v>10.5</v>
      </c>
      <c r="H7" s="15">
        <v>24.6</v>
      </c>
      <c r="I7" s="15">
        <v>4.7</v>
      </c>
      <c r="J7" s="15">
        <v>5.5</v>
      </c>
      <c r="K7" s="15">
        <v>0.9</v>
      </c>
      <c r="L7" s="15">
        <v>4.5</v>
      </c>
      <c r="M7" s="15">
        <v>5.3</v>
      </c>
      <c r="N7" s="15">
        <v>7.4</v>
      </c>
      <c r="O7" s="15">
        <v>1.3</v>
      </c>
      <c r="P7" s="15">
        <v>0.2</v>
      </c>
      <c r="Q7" s="15">
        <v>4.0999999999999996</v>
      </c>
      <c r="R7" s="30">
        <v>3.7</v>
      </c>
    </row>
    <row r="8" spans="2:18" x14ac:dyDescent="0.25">
      <c r="B8" s="42" t="s">
        <v>38</v>
      </c>
      <c r="C8" s="24">
        <v>36.4</v>
      </c>
      <c r="D8" s="15">
        <v>29</v>
      </c>
      <c r="E8" s="15">
        <v>6.4</v>
      </c>
      <c r="F8" s="15">
        <v>2.2000000000000002</v>
      </c>
      <c r="G8" s="15">
        <v>9.6</v>
      </c>
      <c r="H8" s="15">
        <v>19.399999999999999</v>
      </c>
      <c r="I8" s="15">
        <v>7.6</v>
      </c>
      <c r="J8" s="15">
        <v>11.8</v>
      </c>
      <c r="K8" s="15">
        <v>2.4</v>
      </c>
      <c r="L8" s="15">
        <v>6.4</v>
      </c>
      <c r="M8" s="15">
        <v>8.8000000000000007</v>
      </c>
      <c r="N8" s="15">
        <v>5.6</v>
      </c>
      <c r="O8" s="15">
        <v>0.6</v>
      </c>
      <c r="P8" s="15">
        <v>0.8</v>
      </c>
      <c r="Q8" s="15">
        <v>2.2000000000000002</v>
      </c>
      <c r="R8" s="30">
        <v>2.6</v>
      </c>
    </row>
    <row r="9" spans="2:18" x14ac:dyDescent="0.25">
      <c r="B9" s="42" t="s">
        <v>40</v>
      </c>
      <c r="C9" s="24">
        <v>36.299999999999997</v>
      </c>
      <c r="D9" s="15">
        <v>28.2</v>
      </c>
      <c r="E9" s="15">
        <v>10.7</v>
      </c>
      <c r="F9" s="15">
        <v>3.9</v>
      </c>
      <c r="G9" s="15">
        <v>9.4</v>
      </c>
      <c r="H9" s="15">
        <v>20.2</v>
      </c>
      <c r="I9" s="15">
        <v>5.5</v>
      </c>
      <c r="J9" s="15">
        <v>6.9</v>
      </c>
      <c r="K9" s="15">
        <v>0.6</v>
      </c>
      <c r="L9" s="15">
        <v>8.8000000000000007</v>
      </c>
      <c r="M9" s="15">
        <v>9.4</v>
      </c>
      <c r="N9" s="15">
        <v>5.6</v>
      </c>
      <c r="O9" s="15">
        <v>1.3</v>
      </c>
      <c r="P9" s="15">
        <v>0.4</v>
      </c>
      <c r="Q9" s="15">
        <v>2.8</v>
      </c>
      <c r="R9" s="30">
        <v>2.5</v>
      </c>
    </row>
    <row r="10" spans="2:18" x14ac:dyDescent="0.25">
      <c r="B10" s="42" t="s">
        <v>42</v>
      </c>
      <c r="C10" s="24">
        <v>35.700000000000003</v>
      </c>
      <c r="D10" s="15">
        <v>28.1</v>
      </c>
      <c r="E10" s="15">
        <v>9.6</v>
      </c>
      <c r="F10" s="15">
        <v>3.4</v>
      </c>
      <c r="G10" s="15">
        <v>9.8000000000000007</v>
      </c>
      <c r="H10" s="15">
        <v>21.2</v>
      </c>
      <c r="I10" s="15">
        <v>5.0999999999999996</v>
      </c>
      <c r="J10" s="15">
        <v>6.6</v>
      </c>
      <c r="K10" s="15">
        <v>0.7</v>
      </c>
      <c r="L10" s="15">
        <v>7.6</v>
      </c>
      <c r="M10" s="15">
        <v>8.3000000000000007</v>
      </c>
      <c r="N10" s="15">
        <v>7.8</v>
      </c>
      <c r="O10" s="15">
        <v>2</v>
      </c>
      <c r="P10" s="15">
        <v>0.4</v>
      </c>
      <c r="Q10" s="15">
        <v>3.4</v>
      </c>
      <c r="R10" s="30">
        <v>2.6</v>
      </c>
    </row>
    <row r="11" spans="2:18" x14ac:dyDescent="0.25">
      <c r="B11" s="42" t="s">
        <v>44</v>
      </c>
      <c r="C11" s="24">
        <v>36</v>
      </c>
      <c r="D11" s="15">
        <v>27.7</v>
      </c>
      <c r="E11" s="15">
        <v>5.9</v>
      </c>
      <c r="F11" s="15">
        <v>2.4</v>
      </c>
      <c r="G11" s="15">
        <v>9.8000000000000007</v>
      </c>
      <c r="H11" s="15">
        <v>19.100000000000001</v>
      </c>
      <c r="I11" s="15">
        <v>5.8</v>
      </c>
      <c r="J11" s="15">
        <v>6.9</v>
      </c>
      <c r="K11" s="15">
        <v>0.5</v>
      </c>
      <c r="L11" s="15">
        <v>6</v>
      </c>
      <c r="M11" s="15">
        <v>6.5</v>
      </c>
      <c r="N11" s="15">
        <v>3.8</v>
      </c>
      <c r="O11" s="15">
        <v>0.8</v>
      </c>
      <c r="P11" s="15">
        <v>1.3</v>
      </c>
      <c r="Q11" s="15">
        <v>3.3</v>
      </c>
      <c r="R11" s="30">
        <v>1.8</v>
      </c>
    </row>
    <row r="12" spans="2:18" x14ac:dyDescent="0.25">
      <c r="B12" s="42" t="s">
        <v>46</v>
      </c>
      <c r="C12" s="24">
        <v>37.299999999999997</v>
      </c>
      <c r="D12" s="15">
        <v>26.7</v>
      </c>
      <c r="E12" s="15">
        <v>6.3</v>
      </c>
      <c r="F12" s="15">
        <v>2</v>
      </c>
      <c r="G12" s="15">
        <v>9.9</v>
      </c>
      <c r="H12" s="15">
        <v>20.3</v>
      </c>
      <c r="I12" s="15">
        <v>4.9000000000000004</v>
      </c>
      <c r="J12" s="15">
        <v>6.1</v>
      </c>
      <c r="K12" s="15">
        <v>1.1000000000000001</v>
      </c>
      <c r="L12" s="15">
        <v>3.9</v>
      </c>
      <c r="M12" s="15">
        <v>4.9000000000000004</v>
      </c>
      <c r="N12" s="15">
        <v>6.2</v>
      </c>
      <c r="O12" s="15">
        <v>1.6</v>
      </c>
      <c r="P12" s="15">
        <v>0.3</v>
      </c>
      <c r="Q12" s="15">
        <v>3.3</v>
      </c>
      <c r="R12" s="30">
        <v>2.8</v>
      </c>
    </row>
    <row r="13" spans="2:18" x14ac:dyDescent="0.25">
      <c r="B13" s="43" t="s">
        <v>48</v>
      </c>
      <c r="C13" s="25">
        <v>32.9</v>
      </c>
      <c r="D13" s="18">
        <v>25.9</v>
      </c>
      <c r="E13" s="18">
        <v>9.1999999999999993</v>
      </c>
      <c r="F13" s="18">
        <v>3.3</v>
      </c>
      <c r="G13" s="18">
        <v>9.3000000000000007</v>
      </c>
      <c r="H13" s="18">
        <v>19.2</v>
      </c>
      <c r="I13" s="18">
        <v>3.9</v>
      </c>
      <c r="J13" s="18">
        <v>4.4000000000000004</v>
      </c>
      <c r="K13" s="18">
        <v>1.9</v>
      </c>
      <c r="L13" s="18">
        <v>8.4</v>
      </c>
      <c r="M13" s="18">
        <v>10.3</v>
      </c>
      <c r="N13" s="18">
        <v>3.9</v>
      </c>
      <c r="O13" s="18">
        <v>1</v>
      </c>
      <c r="P13" s="18">
        <v>3.9</v>
      </c>
      <c r="Q13" s="18">
        <v>3.6</v>
      </c>
      <c r="R13" s="31">
        <v>2.1</v>
      </c>
    </row>
  </sheetData>
  <pageMargins left="0.7" right="0.7" top="0.75" bottom="0.75" header="0.3" footer="0.3"/>
  <pageSetup paperSize="5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5E620-85EB-429D-BF24-1D424C8F107A}">
  <dimension ref="B2:K538"/>
  <sheetViews>
    <sheetView showGridLines="0" workbookViewId="0">
      <selection activeCell="E6" sqref="E6"/>
    </sheetView>
  </sheetViews>
  <sheetFormatPr baseColWidth="10" defaultRowHeight="15" x14ac:dyDescent="0.25"/>
  <cols>
    <col min="2" max="2" width="17.5703125" bestFit="1" customWidth="1"/>
    <col min="3" max="3" width="14.42578125" bestFit="1" customWidth="1"/>
    <col min="4" max="4" width="11.28515625" bestFit="1" customWidth="1"/>
    <col min="5" max="5" width="16.85546875" bestFit="1" customWidth="1"/>
    <col min="6" max="6" width="11.140625" bestFit="1" customWidth="1"/>
    <col min="7" max="7" width="16.7109375" style="38" bestFit="1" customWidth="1"/>
    <col min="8" max="8" width="12.28515625" bestFit="1" customWidth="1"/>
    <col min="9" max="9" width="12.7109375" bestFit="1" customWidth="1"/>
    <col min="10" max="10" width="12.5703125" bestFit="1" customWidth="1"/>
    <col min="11" max="11" width="12.28515625" bestFit="1" customWidth="1"/>
  </cols>
  <sheetData>
    <row r="2" spans="2:11" x14ac:dyDescent="0.25">
      <c r="B2" s="26" t="s">
        <v>579</v>
      </c>
      <c r="C2" s="27" t="s">
        <v>581</v>
      </c>
      <c r="D2" s="28" t="s">
        <v>593</v>
      </c>
      <c r="E2" s="28" t="s">
        <v>597</v>
      </c>
      <c r="F2" s="28" t="s">
        <v>590</v>
      </c>
      <c r="G2" s="44" t="s">
        <v>598</v>
      </c>
      <c r="H2" s="13" t="s">
        <v>582</v>
      </c>
      <c r="I2" s="13" t="s">
        <v>584</v>
      </c>
      <c r="J2" s="13" t="s">
        <v>585</v>
      </c>
      <c r="K2" s="14" t="s">
        <v>583</v>
      </c>
    </row>
    <row r="3" spans="2:11" x14ac:dyDescent="0.25">
      <c r="B3" s="41" t="s">
        <v>84</v>
      </c>
      <c r="C3" s="39">
        <v>156.1</v>
      </c>
      <c r="D3" s="40">
        <v>56.6</v>
      </c>
      <c r="E3" s="23">
        <v>0.43990659316366842</v>
      </c>
      <c r="F3" s="40">
        <v>18.399999999999999</v>
      </c>
      <c r="G3" s="45">
        <v>0.34519651303486532</v>
      </c>
      <c r="H3" s="40">
        <v>38.500000000000007</v>
      </c>
      <c r="I3" s="40">
        <v>15.1</v>
      </c>
      <c r="J3" s="40">
        <v>45.20000000000001</v>
      </c>
      <c r="K3" s="48">
        <v>60.199999999999996</v>
      </c>
    </row>
    <row r="4" spans="2:11" x14ac:dyDescent="0.25">
      <c r="B4" s="42" t="s">
        <v>41</v>
      </c>
      <c r="C4" s="24">
        <v>151.79999999999995</v>
      </c>
      <c r="D4" s="15">
        <v>53.3</v>
      </c>
      <c r="E4" s="16">
        <v>0.42727196261173001</v>
      </c>
      <c r="F4" s="15">
        <v>22.8</v>
      </c>
      <c r="G4" s="46">
        <v>0.26030170502387262</v>
      </c>
      <c r="H4" s="15">
        <v>31.499999999999996</v>
      </c>
      <c r="I4" s="15">
        <v>14.500000000000002</v>
      </c>
      <c r="J4" s="15">
        <v>45.400000000000006</v>
      </c>
      <c r="K4" s="30">
        <v>59.699999999999996</v>
      </c>
    </row>
    <row r="5" spans="2:11" x14ac:dyDescent="0.25">
      <c r="B5" s="42" t="s">
        <v>60</v>
      </c>
      <c r="C5" s="24">
        <v>122.1</v>
      </c>
      <c r="D5" s="15">
        <v>42.7</v>
      </c>
      <c r="E5" s="16">
        <v>0.43297080691637324</v>
      </c>
      <c r="F5" s="15">
        <v>15.600000000000001</v>
      </c>
      <c r="G5" s="46">
        <v>0.32306472776268819</v>
      </c>
      <c r="H5" s="15">
        <v>24.3</v>
      </c>
      <c r="I5" s="15">
        <v>11.200000000000001</v>
      </c>
      <c r="J5" s="15">
        <v>36.999999999999993</v>
      </c>
      <c r="K5" s="30">
        <v>48.1</v>
      </c>
    </row>
    <row r="6" spans="2:11" x14ac:dyDescent="0.25">
      <c r="B6" s="42" t="s">
        <v>90</v>
      </c>
      <c r="C6" s="24">
        <v>146.1</v>
      </c>
      <c r="D6" s="15">
        <v>53.199999999999989</v>
      </c>
      <c r="E6" s="16">
        <v>0.46943512904796725</v>
      </c>
      <c r="F6" s="15">
        <v>21.299999999999997</v>
      </c>
      <c r="G6" s="46">
        <v>0.35355254526143703</v>
      </c>
      <c r="H6" s="15">
        <v>36.799999999999997</v>
      </c>
      <c r="I6" s="15">
        <v>12.600000000000001</v>
      </c>
      <c r="J6" s="15">
        <v>45</v>
      </c>
      <c r="K6" s="30">
        <v>57.399999999999991</v>
      </c>
    </row>
    <row r="7" spans="2:11" x14ac:dyDescent="0.25">
      <c r="B7" s="42" t="s">
        <v>37</v>
      </c>
      <c r="C7" s="24">
        <v>177.69999999999996</v>
      </c>
      <c r="D7" s="15">
        <v>64.500000000000014</v>
      </c>
      <c r="E7" s="16">
        <v>0.42810196237326198</v>
      </c>
      <c r="F7" s="15">
        <v>22.5</v>
      </c>
      <c r="G7" s="46">
        <v>0.30376558079294869</v>
      </c>
      <c r="H7" s="15">
        <v>39.200000000000003</v>
      </c>
      <c r="I7" s="15">
        <v>21.9</v>
      </c>
      <c r="J7" s="15">
        <v>54</v>
      </c>
      <c r="K7" s="30">
        <v>75.500000000000014</v>
      </c>
    </row>
    <row r="8" spans="2:11" x14ac:dyDescent="0.25">
      <c r="B8" s="42" t="s">
        <v>79</v>
      </c>
      <c r="C8" s="24">
        <v>145.49999999999997</v>
      </c>
      <c r="D8" s="15">
        <v>53.3</v>
      </c>
      <c r="E8" s="16">
        <v>0.49861153073735121</v>
      </c>
      <c r="F8" s="15">
        <v>19.899999999999999</v>
      </c>
      <c r="G8" s="46">
        <v>0.34458518544144728</v>
      </c>
      <c r="H8" s="15">
        <v>35.5</v>
      </c>
      <c r="I8" s="15">
        <v>12.699999999999998</v>
      </c>
      <c r="J8" s="15">
        <v>42.199999999999989</v>
      </c>
      <c r="K8" s="30">
        <v>55.199999999999996</v>
      </c>
    </row>
    <row r="9" spans="2:11" x14ac:dyDescent="0.25">
      <c r="B9" s="42" t="s">
        <v>43</v>
      </c>
      <c r="C9" s="24">
        <v>150.5</v>
      </c>
      <c r="D9" s="15">
        <v>54.899999999999991</v>
      </c>
      <c r="E9" s="16">
        <v>0.45321785426860045</v>
      </c>
      <c r="F9" s="15">
        <v>17.399999999999999</v>
      </c>
      <c r="G9" s="46">
        <v>0.26941626107789363</v>
      </c>
      <c r="H9" s="15">
        <v>33.200000000000003</v>
      </c>
      <c r="I9" s="15">
        <v>13.799999999999999</v>
      </c>
      <c r="J9" s="15">
        <v>44.499999999999993</v>
      </c>
      <c r="K9" s="30">
        <v>58.4</v>
      </c>
    </row>
    <row r="10" spans="2:11" x14ac:dyDescent="0.25">
      <c r="B10" s="42" t="s">
        <v>34</v>
      </c>
      <c r="C10" s="24">
        <v>145</v>
      </c>
      <c r="D10" s="15">
        <v>54.199999999999996</v>
      </c>
      <c r="E10" s="16">
        <v>0.45287122066294083</v>
      </c>
      <c r="F10" s="15">
        <v>14.300000000000002</v>
      </c>
      <c r="G10" s="46">
        <v>0.28376756395496211</v>
      </c>
      <c r="H10" s="15">
        <v>38.900000000000006</v>
      </c>
      <c r="I10" s="15">
        <v>14.100000000000001</v>
      </c>
      <c r="J10" s="15">
        <v>43.999999999999993</v>
      </c>
      <c r="K10" s="30">
        <v>58.000000000000007</v>
      </c>
    </row>
    <row r="11" spans="2:11" x14ac:dyDescent="0.25">
      <c r="B11" s="42" t="s">
        <v>73</v>
      </c>
      <c r="C11" s="24">
        <v>136</v>
      </c>
      <c r="D11" s="15">
        <v>50.79999999999999</v>
      </c>
      <c r="E11" s="16">
        <v>0.45838137161613729</v>
      </c>
      <c r="F11" s="15">
        <v>16.100000000000001</v>
      </c>
      <c r="G11" s="46">
        <v>0.31152819998454512</v>
      </c>
      <c r="H11" s="15">
        <v>32.5</v>
      </c>
      <c r="I11" s="15">
        <v>13.900000000000002</v>
      </c>
      <c r="J11" s="15">
        <v>41.300000000000004</v>
      </c>
      <c r="K11" s="30">
        <v>55.199999999999989</v>
      </c>
    </row>
    <row r="12" spans="2:11" x14ac:dyDescent="0.25">
      <c r="B12" s="42" t="s">
        <v>86</v>
      </c>
      <c r="C12" s="24">
        <v>134.60000000000002</v>
      </c>
      <c r="D12" s="15">
        <v>49.400000000000006</v>
      </c>
      <c r="E12" s="16">
        <v>0.43064931108256538</v>
      </c>
      <c r="F12" s="15">
        <v>18.600000000000001</v>
      </c>
      <c r="G12" s="46">
        <v>0.24985602463181172</v>
      </c>
      <c r="H12" s="15">
        <v>35.6</v>
      </c>
      <c r="I12" s="15">
        <v>15.999999999999998</v>
      </c>
      <c r="J12" s="15">
        <v>40.900000000000006</v>
      </c>
      <c r="K12" s="30">
        <v>56.899999999999991</v>
      </c>
    </row>
    <row r="13" spans="2:11" x14ac:dyDescent="0.25">
      <c r="B13" s="42" t="s">
        <v>110</v>
      </c>
      <c r="C13" s="24">
        <v>134.30000000000001</v>
      </c>
      <c r="D13" s="15">
        <v>49.900000000000006</v>
      </c>
      <c r="E13" s="16">
        <v>0.46698997640590656</v>
      </c>
      <c r="F13" s="15">
        <v>14.299999999999999</v>
      </c>
      <c r="G13" s="46">
        <v>0.29901932280473215</v>
      </c>
      <c r="H13" s="15">
        <v>24.800000000000004</v>
      </c>
      <c r="I13" s="15">
        <v>17.399999999999999</v>
      </c>
      <c r="J13" s="15">
        <v>42.7</v>
      </c>
      <c r="K13" s="30">
        <v>60.300000000000004</v>
      </c>
    </row>
    <row r="14" spans="2:11" x14ac:dyDescent="0.25">
      <c r="B14" s="42" t="s">
        <v>108</v>
      </c>
      <c r="C14" s="24">
        <v>151.29999999999998</v>
      </c>
      <c r="D14" s="15">
        <v>56.399999999999991</v>
      </c>
      <c r="E14" s="16">
        <v>0.4835582964126019</v>
      </c>
      <c r="F14" s="15">
        <v>15</v>
      </c>
      <c r="G14" s="46">
        <v>0.26695307191338935</v>
      </c>
      <c r="H14" s="15">
        <v>34.400000000000006</v>
      </c>
      <c r="I14" s="15">
        <v>12.6</v>
      </c>
      <c r="J14" s="15">
        <v>43.79999999999999</v>
      </c>
      <c r="K14" s="30">
        <v>56.499999999999993</v>
      </c>
    </row>
    <row r="15" spans="2:11" x14ac:dyDescent="0.25">
      <c r="B15" s="42" t="s">
        <v>75</v>
      </c>
      <c r="C15" s="24">
        <v>143.6</v>
      </c>
      <c r="D15" s="15">
        <v>53.399999999999991</v>
      </c>
      <c r="E15" s="16">
        <v>0.45283252431474291</v>
      </c>
      <c r="F15" s="15">
        <v>16.2</v>
      </c>
      <c r="G15" s="46">
        <v>0.26672664134779955</v>
      </c>
      <c r="H15" s="15">
        <v>28.400000000000002</v>
      </c>
      <c r="I15" s="15">
        <v>14.899999999999997</v>
      </c>
      <c r="J15" s="15">
        <v>43.900000000000006</v>
      </c>
      <c r="K15" s="30">
        <v>58.8</v>
      </c>
    </row>
    <row r="16" spans="2:11" x14ac:dyDescent="0.25">
      <c r="B16" s="42" t="s">
        <v>51</v>
      </c>
      <c r="C16" s="24">
        <v>120.89999999999999</v>
      </c>
      <c r="D16" s="15">
        <v>43.900000000000006</v>
      </c>
      <c r="E16" s="16">
        <v>0.47640575831269477</v>
      </c>
      <c r="F16" s="15">
        <v>12</v>
      </c>
      <c r="G16" s="46">
        <v>0.22301414746223577</v>
      </c>
      <c r="H16" s="15">
        <v>26.1</v>
      </c>
      <c r="I16" s="15">
        <v>12</v>
      </c>
      <c r="J16" s="15">
        <v>35.700000000000003</v>
      </c>
      <c r="K16" s="30">
        <v>47.699999999999996</v>
      </c>
    </row>
    <row r="17" spans="2:11" x14ac:dyDescent="0.25">
      <c r="B17" s="42" t="s">
        <v>88</v>
      </c>
      <c r="C17" s="24">
        <v>163.70000000000002</v>
      </c>
      <c r="D17" s="15">
        <v>59.300000000000004</v>
      </c>
      <c r="E17" s="16">
        <v>0.44842804488694821</v>
      </c>
      <c r="F17" s="15">
        <v>18.600000000000001</v>
      </c>
      <c r="G17" s="46">
        <v>0.31395064110710735</v>
      </c>
      <c r="H17" s="15">
        <v>44.20000000000001</v>
      </c>
      <c r="I17" s="15">
        <v>18.600000000000005</v>
      </c>
      <c r="J17" s="15">
        <v>48.399999999999991</v>
      </c>
      <c r="K17" s="30">
        <v>66.900000000000006</v>
      </c>
    </row>
    <row r="18" spans="2:11" x14ac:dyDescent="0.25">
      <c r="B18" s="42" t="s">
        <v>70</v>
      </c>
      <c r="C18" s="24">
        <v>140.20000000000002</v>
      </c>
      <c r="D18" s="15">
        <v>49.6</v>
      </c>
      <c r="E18" s="16">
        <v>0.44788859698331901</v>
      </c>
      <c r="F18" s="15">
        <v>17.900000000000002</v>
      </c>
      <c r="G18" s="46">
        <v>0.35956313569350212</v>
      </c>
      <c r="H18" s="15">
        <v>32.900000000000006</v>
      </c>
      <c r="I18" s="15">
        <v>12.8</v>
      </c>
      <c r="J18" s="15">
        <v>44.3</v>
      </c>
      <c r="K18" s="30">
        <v>56.999999999999993</v>
      </c>
    </row>
    <row r="19" spans="2:11" x14ac:dyDescent="0.25">
      <c r="B19" s="42" t="s">
        <v>29</v>
      </c>
      <c r="C19" s="24">
        <v>144.49999999999997</v>
      </c>
      <c r="D19" s="15">
        <v>52.7</v>
      </c>
      <c r="E19" s="16">
        <v>0.44087690260576406</v>
      </c>
      <c r="F19" s="15">
        <v>18</v>
      </c>
      <c r="G19" s="46">
        <v>0.35519069224336774</v>
      </c>
      <c r="H19" s="15">
        <v>33.6</v>
      </c>
      <c r="I19" s="15">
        <v>10.700000000000001</v>
      </c>
      <c r="J19" s="15">
        <v>45.199999999999989</v>
      </c>
      <c r="K19" s="30">
        <v>56.399999999999991</v>
      </c>
    </row>
    <row r="20" spans="2:11" x14ac:dyDescent="0.25">
      <c r="B20" s="42" t="s">
        <v>63</v>
      </c>
      <c r="C20" s="24">
        <v>120.50000000000003</v>
      </c>
      <c r="D20" s="15">
        <v>42.800000000000004</v>
      </c>
      <c r="E20" s="16">
        <v>0.40559552547945826</v>
      </c>
      <c r="F20" s="15">
        <v>16.2</v>
      </c>
      <c r="G20" s="46">
        <v>0.28562057581710071</v>
      </c>
      <c r="H20" s="15">
        <v>29.5</v>
      </c>
      <c r="I20" s="15">
        <v>10.8</v>
      </c>
      <c r="J20" s="15">
        <v>36.6</v>
      </c>
      <c r="K20" s="30">
        <v>47.400000000000006</v>
      </c>
    </row>
    <row r="21" spans="2:11" x14ac:dyDescent="0.25">
      <c r="B21" s="42" t="s">
        <v>81</v>
      </c>
      <c r="C21" s="24">
        <v>200.30000000000004</v>
      </c>
      <c r="D21" s="15">
        <v>74.399999999999991</v>
      </c>
      <c r="E21" s="16">
        <v>0.43837140595182456</v>
      </c>
      <c r="F21" s="15">
        <v>20.400000000000002</v>
      </c>
      <c r="G21" s="46">
        <v>0.25460353164876237</v>
      </c>
      <c r="H21" s="15">
        <v>52.2</v>
      </c>
      <c r="I21" s="15">
        <v>21.599999999999994</v>
      </c>
      <c r="J21" s="15">
        <v>53.8</v>
      </c>
      <c r="K21" s="30">
        <v>75.399999999999991</v>
      </c>
    </row>
    <row r="22" spans="2:11" x14ac:dyDescent="0.25">
      <c r="B22" s="42" t="s">
        <v>55</v>
      </c>
      <c r="C22" s="24">
        <v>133.89999999999998</v>
      </c>
      <c r="D22" s="15">
        <v>49.79999999999999</v>
      </c>
      <c r="E22" s="16">
        <v>0.47671561284675296</v>
      </c>
      <c r="F22" s="15">
        <v>15.900000000000002</v>
      </c>
      <c r="G22" s="46">
        <v>0.31506372044151121</v>
      </c>
      <c r="H22" s="15">
        <v>32.200000000000003</v>
      </c>
      <c r="I22" s="15">
        <v>12.000000000000002</v>
      </c>
      <c r="J22" s="15">
        <v>40.800000000000011</v>
      </c>
      <c r="K22" s="30">
        <v>52.800000000000011</v>
      </c>
    </row>
    <row r="23" spans="2:11" x14ac:dyDescent="0.25">
      <c r="B23" s="42" t="s">
        <v>31</v>
      </c>
      <c r="C23" s="24">
        <v>146.20000000000005</v>
      </c>
      <c r="D23" s="15">
        <v>54.7</v>
      </c>
      <c r="E23" s="16">
        <v>0.4033559055445462</v>
      </c>
      <c r="F23" s="15">
        <v>16.900000000000002</v>
      </c>
      <c r="G23" s="46">
        <v>0.24987199984193911</v>
      </c>
      <c r="H23" s="15">
        <v>33.199999999999996</v>
      </c>
      <c r="I23" s="15">
        <v>15.499999999999998</v>
      </c>
      <c r="J23" s="15">
        <v>48.9</v>
      </c>
      <c r="K23" s="30">
        <v>64.399999999999991</v>
      </c>
    </row>
    <row r="24" spans="2:11" x14ac:dyDescent="0.25">
      <c r="B24" s="42" t="s">
        <v>39</v>
      </c>
      <c r="C24" s="24">
        <v>156.4</v>
      </c>
      <c r="D24" s="15">
        <v>55.800000000000004</v>
      </c>
      <c r="E24" s="16">
        <v>0.41601319710450863</v>
      </c>
      <c r="F24" s="15">
        <v>16.3</v>
      </c>
      <c r="G24" s="46">
        <v>0.28502896952753209</v>
      </c>
      <c r="H24" s="15">
        <v>36.399999999999991</v>
      </c>
      <c r="I24" s="15">
        <v>15.6</v>
      </c>
      <c r="J24" s="15">
        <v>44.8</v>
      </c>
      <c r="K24" s="30">
        <v>60.6</v>
      </c>
    </row>
    <row r="25" spans="2:11" x14ac:dyDescent="0.25">
      <c r="B25" s="42" t="s">
        <v>53</v>
      </c>
      <c r="C25" s="24">
        <v>157.00000000000003</v>
      </c>
      <c r="D25" s="15">
        <v>55.699999999999996</v>
      </c>
      <c r="E25" s="16">
        <v>0.48521881232906583</v>
      </c>
      <c r="F25" s="15">
        <v>17.100000000000001</v>
      </c>
      <c r="G25" s="46">
        <v>0.29578460827025999</v>
      </c>
      <c r="H25" s="15">
        <v>31.500000000000011</v>
      </c>
      <c r="I25" s="15">
        <v>14.4</v>
      </c>
      <c r="J25" s="15">
        <v>42.3</v>
      </c>
      <c r="K25" s="30">
        <v>56.699999999999989</v>
      </c>
    </row>
    <row r="26" spans="2:11" x14ac:dyDescent="0.25">
      <c r="B26" s="42" t="s">
        <v>45</v>
      </c>
      <c r="C26" s="24">
        <v>151.30000000000004</v>
      </c>
      <c r="D26" s="15">
        <v>53.70000000000001</v>
      </c>
      <c r="E26" s="16">
        <v>0.44724187599567639</v>
      </c>
      <c r="F26" s="15">
        <v>19.300000000000004</v>
      </c>
      <c r="G26" s="46">
        <v>0.32791319636497657</v>
      </c>
      <c r="H26" s="15">
        <v>33.799999999999997</v>
      </c>
      <c r="I26" s="15">
        <v>12.3</v>
      </c>
      <c r="J26" s="15">
        <v>43.499999999999993</v>
      </c>
      <c r="K26" s="30">
        <v>55.800000000000004</v>
      </c>
    </row>
    <row r="27" spans="2:11" x14ac:dyDescent="0.25">
      <c r="B27" s="42" t="s">
        <v>124</v>
      </c>
      <c r="C27" s="24">
        <v>137.59999999999997</v>
      </c>
      <c r="D27" s="15">
        <v>51.399999999999991</v>
      </c>
      <c r="E27" s="16">
        <v>0.42732686016895782</v>
      </c>
      <c r="F27" s="15">
        <v>14.599999999999998</v>
      </c>
      <c r="G27" s="46">
        <v>0.28032794740574629</v>
      </c>
      <c r="H27" s="15">
        <v>28.500000000000004</v>
      </c>
      <c r="I27" s="15">
        <v>18.699999999999996</v>
      </c>
      <c r="J27" s="15">
        <v>41.600000000000009</v>
      </c>
      <c r="K27" s="30">
        <v>60.3</v>
      </c>
    </row>
    <row r="28" spans="2:11" x14ac:dyDescent="0.25">
      <c r="B28" s="42" t="s">
        <v>47</v>
      </c>
      <c r="C28" s="24">
        <v>136.29999999999998</v>
      </c>
      <c r="D28" s="15">
        <v>50.5</v>
      </c>
      <c r="E28" s="16">
        <v>0.38758741948766179</v>
      </c>
      <c r="F28" s="15">
        <v>14.499999999999998</v>
      </c>
      <c r="G28" s="46">
        <v>0.24938131334384422</v>
      </c>
      <c r="H28" s="15">
        <v>34.9</v>
      </c>
      <c r="I28" s="15">
        <v>13.600000000000001</v>
      </c>
      <c r="J28" s="15">
        <v>47.000000000000007</v>
      </c>
      <c r="K28" s="30">
        <v>60.499999999999986</v>
      </c>
    </row>
    <row r="29" spans="2:11" x14ac:dyDescent="0.25">
      <c r="B29" s="42" t="s">
        <v>49</v>
      </c>
      <c r="C29" s="24">
        <v>142.69999999999999</v>
      </c>
      <c r="D29" s="15">
        <v>51.70000000000001</v>
      </c>
      <c r="E29" s="16">
        <v>0.40237147343427687</v>
      </c>
      <c r="F29" s="15">
        <v>16.3</v>
      </c>
      <c r="G29" s="46">
        <v>0.25766851785186462</v>
      </c>
      <c r="H29" s="15">
        <v>38.099999999999994</v>
      </c>
      <c r="I29" s="15">
        <v>14.4</v>
      </c>
      <c r="J29" s="15">
        <v>46.400000000000006</v>
      </c>
      <c r="K29" s="30">
        <v>60.699999999999989</v>
      </c>
    </row>
    <row r="30" spans="2:11" x14ac:dyDescent="0.25">
      <c r="B30" s="42" t="s">
        <v>77</v>
      </c>
      <c r="C30" s="24">
        <v>166.50000000000003</v>
      </c>
      <c r="D30" s="15">
        <v>62.2</v>
      </c>
      <c r="E30" s="16">
        <v>0.43571414805610165</v>
      </c>
      <c r="F30" s="15">
        <v>17</v>
      </c>
      <c r="G30" s="46">
        <v>0.25949010687448509</v>
      </c>
      <c r="H30" s="15">
        <v>45.70000000000001</v>
      </c>
      <c r="I30" s="15">
        <v>17.3</v>
      </c>
      <c r="J30" s="15">
        <v>47.699999999999996</v>
      </c>
      <c r="K30" s="30">
        <v>65.3</v>
      </c>
    </row>
    <row r="31" spans="2:11" x14ac:dyDescent="0.25">
      <c r="B31" s="42" t="s">
        <v>114</v>
      </c>
      <c r="C31" s="24">
        <v>152.79999999999998</v>
      </c>
      <c r="D31" s="15">
        <v>52.9</v>
      </c>
      <c r="E31" s="16">
        <v>0.4115616160862603</v>
      </c>
      <c r="F31" s="15">
        <v>20.300000000000004</v>
      </c>
      <c r="G31" s="46">
        <v>0.33842432528759975</v>
      </c>
      <c r="H31" s="15">
        <v>34.1</v>
      </c>
      <c r="I31" s="15">
        <v>20.399999999999999</v>
      </c>
      <c r="J31" s="15">
        <v>53.999999999999986</v>
      </c>
      <c r="K31" s="30">
        <v>74.199999999999989</v>
      </c>
    </row>
    <row r="32" spans="2:11" x14ac:dyDescent="0.25">
      <c r="B32" s="43" t="s">
        <v>94</v>
      </c>
      <c r="C32" s="25">
        <v>146.50000000000003</v>
      </c>
      <c r="D32" s="18">
        <v>54.599999999999994</v>
      </c>
      <c r="E32" s="19">
        <v>0.44659096946621724</v>
      </c>
      <c r="F32" s="18">
        <v>15.800000000000002</v>
      </c>
      <c r="G32" s="47">
        <v>0.28136421940023792</v>
      </c>
      <c r="H32" s="18">
        <v>31.7</v>
      </c>
      <c r="I32" s="18">
        <v>14.900000000000004</v>
      </c>
      <c r="J32" s="18">
        <v>44.4</v>
      </c>
      <c r="K32" s="31">
        <v>59.499999999999993</v>
      </c>
    </row>
    <row r="33" spans="7:7" x14ac:dyDescent="0.25">
      <c r="G33"/>
    </row>
    <row r="34" spans="7:7" x14ac:dyDescent="0.25">
      <c r="G34"/>
    </row>
    <row r="35" spans="7:7" x14ac:dyDescent="0.25">
      <c r="G35"/>
    </row>
    <row r="36" spans="7:7" x14ac:dyDescent="0.25">
      <c r="G36"/>
    </row>
    <row r="37" spans="7:7" x14ac:dyDescent="0.25">
      <c r="G37"/>
    </row>
    <row r="38" spans="7:7" x14ac:dyDescent="0.25">
      <c r="G38"/>
    </row>
    <row r="39" spans="7:7" x14ac:dyDescent="0.25">
      <c r="G39"/>
    </row>
    <row r="40" spans="7:7" x14ac:dyDescent="0.25">
      <c r="G40"/>
    </row>
    <row r="41" spans="7:7" x14ac:dyDescent="0.25">
      <c r="G41"/>
    </row>
    <row r="42" spans="7:7" x14ac:dyDescent="0.25">
      <c r="G42"/>
    </row>
    <row r="43" spans="7:7" x14ac:dyDescent="0.25">
      <c r="G43"/>
    </row>
    <row r="44" spans="7:7" x14ac:dyDescent="0.25">
      <c r="G44"/>
    </row>
    <row r="45" spans="7:7" x14ac:dyDescent="0.25">
      <c r="G45"/>
    </row>
    <row r="46" spans="7:7" x14ac:dyDescent="0.25">
      <c r="G46"/>
    </row>
    <row r="47" spans="7:7" x14ac:dyDescent="0.25">
      <c r="G47"/>
    </row>
    <row r="48" spans="7:7" x14ac:dyDescent="0.25">
      <c r="G48"/>
    </row>
    <row r="49" spans="7:7" x14ac:dyDescent="0.25">
      <c r="G49"/>
    </row>
    <row r="50" spans="7:7" x14ac:dyDescent="0.25">
      <c r="G50"/>
    </row>
    <row r="51" spans="7:7" x14ac:dyDescent="0.25">
      <c r="G51"/>
    </row>
    <row r="52" spans="7:7" x14ac:dyDescent="0.25">
      <c r="G52"/>
    </row>
    <row r="53" spans="7:7" x14ac:dyDescent="0.25">
      <c r="G53"/>
    </row>
    <row r="54" spans="7:7" x14ac:dyDescent="0.25">
      <c r="G54"/>
    </row>
    <row r="55" spans="7:7" x14ac:dyDescent="0.25">
      <c r="G55"/>
    </row>
    <row r="56" spans="7:7" x14ac:dyDescent="0.25">
      <c r="G56"/>
    </row>
    <row r="57" spans="7:7" x14ac:dyDescent="0.25">
      <c r="G57"/>
    </row>
    <row r="58" spans="7:7" x14ac:dyDescent="0.25">
      <c r="G58"/>
    </row>
    <row r="59" spans="7:7" x14ac:dyDescent="0.25">
      <c r="G59"/>
    </row>
    <row r="60" spans="7:7" x14ac:dyDescent="0.25">
      <c r="G60"/>
    </row>
    <row r="61" spans="7:7" x14ac:dyDescent="0.25">
      <c r="G61"/>
    </row>
    <row r="62" spans="7:7" x14ac:dyDescent="0.25">
      <c r="G62"/>
    </row>
    <row r="63" spans="7:7" x14ac:dyDescent="0.25">
      <c r="G63"/>
    </row>
    <row r="64" spans="7:7" x14ac:dyDescent="0.25">
      <c r="G64"/>
    </row>
    <row r="65" spans="7:7" x14ac:dyDescent="0.25">
      <c r="G65"/>
    </row>
    <row r="66" spans="7:7" x14ac:dyDescent="0.25">
      <c r="G66"/>
    </row>
    <row r="67" spans="7:7" x14ac:dyDescent="0.25">
      <c r="G67"/>
    </row>
    <row r="68" spans="7:7" x14ac:dyDescent="0.25">
      <c r="G68"/>
    </row>
    <row r="69" spans="7:7" x14ac:dyDescent="0.25">
      <c r="G69"/>
    </row>
    <row r="70" spans="7:7" x14ac:dyDescent="0.25">
      <c r="G70"/>
    </row>
    <row r="71" spans="7:7" x14ac:dyDescent="0.25">
      <c r="G71"/>
    </row>
    <row r="72" spans="7:7" x14ac:dyDescent="0.25">
      <c r="G72"/>
    </row>
    <row r="73" spans="7:7" x14ac:dyDescent="0.25">
      <c r="G73"/>
    </row>
    <row r="74" spans="7:7" x14ac:dyDescent="0.25">
      <c r="G74"/>
    </row>
    <row r="75" spans="7:7" x14ac:dyDescent="0.25">
      <c r="G75"/>
    </row>
    <row r="76" spans="7:7" x14ac:dyDescent="0.25">
      <c r="G76"/>
    </row>
    <row r="77" spans="7:7" x14ac:dyDescent="0.25">
      <c r="G77"/>
    </row>
    <row r="78" spans="7:7" x14ac:dyDescent="0.25">
      <c r="G78"/>
    </row>
    <row r="79" spans="7:7" x14ac:dyDescent="0.25">
      <c r="G79"/>
    </row>
    <row r="80" spans="7:7" x14ac:dyDescent="0.25">
      <c r="G80"/>
    </row>
    <row r="81" spans="7:7" x14ac:dyDescent="0.25">
      <c r="G81"/>
    </row>
    <row r="82" spans="7:7" x14ac:dyDescent="0.25">
      <c r="G82"/>
    </row>
    <row r="83" spans="7:7" x14ac:dyDescent="0.25">
      <c r="G83"/>
    </row>
    <row r="84" spans="7:7" x14ac:dyDescent="0.25">
      <c r="G84"/>
    </row>
    <row r="85" spans="7:7" x14ac:dyDescent="0.25">
      <c r="G85"/>
    </row>
    <row r="86" spans="7:7" x14ac:dyDescent="0.25">
      <c r="G86"/>
    </row>
    <row r="87" spans="7:7" x14ac:dyDescent="0.25">
      <c r="G87"/>
    </row>
    <row r="88" spans="7:7" x14ac:dyDescent="0.25">
      <c r="G88"/>
    </row>
    <row r="89" spans="7:7" x14ac:dyDescent="0.25">
      <c r="G89"/>
    </row>
    <row r="90" spans="7:7" x14ac:dyDescent="0.25">
      <c r="G90"/>
    </row>
    <row r="91" spans="7:7" x14ac:dyDescent="0.25">
      <c r="G91"/>
    </row>
    <row r="92" spans="7:7" x14ac:dyDescent="0.25">
      <c r="G92"/>
    </row>
    <row r="93" spans="7:7" x14ac:dyDescent="0.25">
      <c r="G93"/>
    </row>
    <row r="94" spans="7:7" x14ac:dyDescent="0.25">
      <c r="G94"/>
    </row>
    <row r="95" spans="7:7" x14ac:dyDescent="0.25">
      <c r="G95"/>
    </row>
    <row r="96" spans="7:7" x14ac:dyDescent="0.25">
      <c r="G96"/>
    </row>
    <row r="97" spans="7:7" x14ac:dyDescent="0.25">
      <c r="G97"/>
    </row>
    <row r="98" spans="7:7" x14ac:dyDescent="0.25">
      <c r="G98"/>
    </row>
    <row r="99" spans="7:7" x14ac:dyDescent="0.25">
      <c r="G99"/>
    </row>
    <row r="100" spans="7:7" x14ac:dyDescent="0.25">
      <c r="G100"/>
    </row>
    <row r="101" spans="7:7" x14ac:dyDescent="0.25">
      <c r="G101"/>
    </row>
    <row r="102" spans="7:7" x14ac:dyDescent="0.25">
      <c r="G102"/>
    </row>
    <row r="103" spans="7:7" x14ac:dyDescent="0.25">
      <c r="G103"/>
    </row>
    <row r="104" spans="7:7" x14ac:dyDescent="0.25">
      <c r="G104"/>
    </row>
    <row r="105" spans="7:7" x14ac:dyDescent="0.25">
      <c r="G105"/>
    </row>
    <row r="106" spans="7:7" x14ac:dyDescent="0.25">
      <c r="G106"/>
    </row>
    <row r="107" spans="7:7" x14ac:dyDescent="0.25">
      <c r="G107"/>
    </row>
    <row r="108" spans="7:7" x14ac:dyDescent="0.25">
      <c r="G108"/>
    </row>
    <row r="109" spans="7:7" x14ac:dyDescent="0.25">
      <c r="G109"/>
    </row>
    <row r="110" spans="7:7" x14ac:dyDescent="0.25">
      <c r="G110"/>
    </row>
    <row r="111" spans="7:7" x14ac:dyDescent="0.25">
      <c r="G111"/>
    </row>
    <row r="112" spans="7:7" x14ac:dyDescent="0.25">
      <c r="G112"/>
    </row>
    <row r="113" spans="7:7" x14ac:dyDescent="0.25">
      <c r="G113"/>
    </row>
    <row r="114" spans="7:7" x14ac:dyDescent="0.25">
      <c r="G114"/>
    </row>
    <row r="115" spans="7:7" x14ac:dyDescent="0.25">
      <c r="G115"/>
    </row>
    <row r="116" spans="7:7" x14ac:dyDescent="0.25">
      <c r="G116"/>
    </row>
    <row r="117" spans="7:7" x14ac:dyDescent="0.25">
      <c r="G117"/>
    </row>
    <row r="118" spans="7:7" x14ac:dyDescent="0.25">
      <c r="G118"/>
    </row>
    <row r="119" spans="7:7" x14ac:dyDescent="0.25">
      <c r="G119"/>
    </row>
    <row r="120" spans="7:7" x14ac:dyDescent="0.25">
      <c r="G120"/>
    </row>
    <row r="121" spans="7:7" x14ac:dyDescent="0.25">
      <c r="G121"/>
    </row>
    <row r="122" spans="7:7" x14ac:dyDescent="0.25">
      <c r="G122"/>
    </row>
    <row r="123" spans="7:7" x14ac:dyDescent="0.25">
      <c r="G123"/>
    </row>
    <row r="124" spans="7:7" x14ac:dyDescent="0.25">
      <c r="G124"/>
    </row>
    <row r="125" spans="7:7" x14ac:dyDescent="0.25">
      <c r="G125"/>
    </row>
    <row r="126" spans="7:7" x14ac:dyDescent="0.25">
      <c r="G126"/>
    </row>
    <row r="127" spans="7:7" x14ac:dyDescent="0.25">
      <c r="G127"/>
    </row>
    <row r="128" spans="7:7" x14ac:dyDescent="0.25">
      <c r="G128"/>
    </row>
    <row r="129" spans="7:7" x14ac:dyDescent="0.25">
      <c r="G129"/>
    </row>
    <row r="130" spans="7:7" x14ac:dyDescent="0.25">
      <c r="G130"/>
    </row>
    <row r="131" spans="7:7" x14ac:dyDescent="0.25">
      <c r="G131"/>
    </row>
    <row r="132" spans="7:7" x14ac:dyDescent="0.25">
      <c r="G132"/>
    </row>
    <row r="133" spans="7:7" x14ac:dyDescent="0.25">
      <c r="G133"/>
    </row>
    <row r="134" spans="7:7" x14ac:dyDescent="0.25">
      <c r="G134"/>
    </row>
    <row r="135" spans="7:7" x14ac:dyDescent="0.25">
      <c r="G135"/>
    </row>
    <row r="136" spans="7:7" x14ac:dyDescent="0.25">
      <c r="G136"/>
    </row>
    <row r="137" spans="7:7" x14ac:dyDescent="0.25">
      <c r="G137"/>
    </row>
    <row r="138" spans="7:7" x14ac:dyDescent="0.25">
      <c r="G138"/>
    </row>
    <row r="139" spans="7:7" x14ac:dyDescent="0.25">
      <c r="G139"/>
    </row>
    <row r="140" spans="7:7" x14ac:dyDescent="0.25">
      <c r="G140"/>
    </row>
    <row r="141" spans="7:7" x14ac:dyDescent="0.25">
      <c r="G141"/>
    </row>
    <row r="142" spans="7:7" x14ac:dyDescent="0.25">
      <c r="G142"/>
    </row>
    <row r="143" spans="7:7" x14ac:dyDescent="0.25">
      <c r="G143"/>
    </row>
    <row r="144" spans="7:7" x14ac:dyDescent="0.25">
      <c r="G144"/>
    </row>
    <row r="145" spans="7:7" x14ac:dyDescent="0.25">
      <c r="G145"/>
    </row>
    <row r="146" spans="7:7" x14ac:dyDescent="0.25">
      <c r="G146"/>
    </row>
    <row r="147" spans="7:7" x14ac:dyDescent="0.25">
      <c r="G147"/>
    </row>
    <row r="148" spans="7:7" x14ac:dyDescent="0.25">
      <c r="G148"/>
    </row>
    <row r="149" spans="7:7" x14ac:dyDescent="0.25">
      <c r="G149"/>
    </row>
    <row r="150" spans="7:7" x14ac:dyDescent="0.25">
      <c r="G150"/>
    </row>
    <row r="151" spans="7:7" x14ac:dyDescent="0.25">
      <c r="G151"/>
    </row>
    <row r="152" spans="7:7" x14ac:dyDescent="0.25">
      <c r="G152"/>
    </row>
    <row r="153" spans="7:7" x14ac:dyDescent="0.25">
      <c r="G153"/>
    </row>
    <row r="154" spans="7:7" x14ac:dyDescent="0.25">
      <c r="G154"/>
    </row>
    <row r="155" spans="7:7" x14ac:dyDescent="0.25">
      <c r="G155"/>
    </row>
    <row r="156" spans="7:7" x14ac:dyDescent="0.25">
      <c r="G156"/>
    </row>
    <row r="157" spans="7:7" x14ac:dyDescent="0.25">
      <c r="G157"/>
    </row>
    <row r="158" spans="7:7" x14ac:dyDescent="0.25">
      <c r="G158"/>
    </row>
    <row r="159" spans="7:7" x14ac:dyDescent="0.25">
      <c r="G159"/>
    </row>
    <row r="160" spans="7:7" x14ac:dyDescent="0.25">
      <c r="G160"/>
    </row>
    <row r="161" spans="7:7" x14ac:dyDescent="0.25">
      <c r="G161"/>
    </row>
    <row r="162" spans="7:7" x14ac:dyDescent="0.25">
      <c r="G162"/>
    </row>
    <row r="163" spans="7:7" x14ac:dyDescent="0.25">
      <c r="G163"/>
    </row>
    <row r="164" spans="7:7" x14ac:dyDescent="0.25">
      <c r="G164"/>
    </row>
    <row r="165" spans="7:7" x14ac:dyDescent="0.25">
      <c r="G165"/>
    </row>
    <row r="166" spans="7:7" x14ac:dyDescent="0.25">
      <c r="G166"/>
    </row>
    <row r="167" spans="7:7" x14ac:dyDescent="0.25">
      <c r="G167"/>
    </row>
    <row r="168" spans="7:7" x14ac:dyDescent="0.25">
      <c r="G168"/>
    </row>
    <row r="169" spans="7:7" x14ac:dyDescent="0.25">
      <c r="G169"/>
    </row>
    <row r="170" spans="7:7" x14ac:dyDescent="0.25">
      <c r="G170"/>
    </row>
    <row r="171" spans="7:7" x14ac:dyDescent="0.25">
      <c r="G171"/>
    </row>
    <row r="172" spans="7:7" x14ac:dyDescent="0.25">
      <c r="G172"/>
    </row>
    <row r="173" spans="7:7" x14ac:dyDescent="0.25">
      <c r="G173"/>
    </row>
    <row r="174" spans="7:7" x14ac:dyDescent="0.25">
      <c r="G174"/>
    </row>
    <row r="175" spans="7:7" x14ac:dyDescent="0.25">
      <c r="G175"/>
    </row>
    <row r="176" spans="7:7" x14ac:dyDescent="0.25">
      <c r="G176"/>
    </row>
    <row r="177" spans="7:7" x14ac:dyDescent="0.25">
      <c r="G177"/>
    </row>
    <row r="178" spans="7:7" x14ac:dyDescent="0.25">
      <c r="G178"/>
    </row>
    <row r="179" spans="7:7" x14ac:dyDescent="0.25">
      <c r="G179"/>
    </row>
    <row r="180" spans="7:7" x14ac:dyDescent="0.25">
      <c r="G180"/>
    </row>
    <row r="181" spans="7:7" x14ac:dyDescent="0.25">
      <c r="G181"/>
    </row>
    <row r="182" spans="7:7" x14ac:dyDescent="0.25">
      <c r="G182"/>
    </row>
    <row r="183" spans="7:7" x14ac:dyDescent="0.25">
      <c r="G183"/>
    </row>
    <row r="184" spans="7:7" x14ac:dyDescent="0.25">
      <c r="G184"/>
    </row>
    <row r="185" spans="7:7" x14ac:dyDescent="0.25">
      <c r="G185"/>
    </row>
    <row r="186" spans="7:7" x14ac:dyDescent="0.25">
      <c r="G186"/>
    </row>
    <row r="187" spans="7:7" x14ac:dyDescent="0.25">
      <c r="G187"/>
    </row>
    <row r="188" spans="7:7" x14ac:dyDescent="0.25">
      <c r="G188"/>
    </row>
    <row r="189" spans="7:7" x14ac:dyDescent="0.25">
      <c r="G189"/>
    </row>
    <row r="190" spans="7:7" x14ac:dyDescent="0.25">
      <c r="G190"/>
    </row>
    <row r="191" spans="7:7" x14ac:dyDescent="0.25">
      <c r="G191"/>
    </row>
    <row r="192" spans="7:7" x14ac:dyDescent="0.25">
      <c r="G192"/>
    </row>
    <row r="193" spans="7:7" x14ac:dyDescent="0.25">
      <c r="G193"/>
    </row>
    <row r="194" spans="7:7" x14ac:dyDescent="0.25">
      <c r="G194"/>
    </row>
    <row r="195" spans="7:7" x14ac:dyDescent="0.25">
      <c r="G195"/>
    </row>
    <row r="196" spans="7:7" x14ac:dyDescent="0.25">
      <c r="G196"/>
    </row>
    <row r="197" spans="7:7" x14ac:dyDescent="0.25">
      <c r="G197"/>
    </row>
    <row r="198" spans="7:7" x14ac:dyDescent="0.25">
      <c r="G198"/>
    </row>
    <row r="199" spans="7:7" x14ac:dyDescent="0.25">
      <c r="G199"/>
    </row>
    <row r="200" spans="7:7" x14ac:dyDescent="0.25">
      <c r="G200"/>
    </row>
    <row r="201" spans="7:7" x14ac:dyDescent="0.25">
      <c r="G201"/>
    </row>
    <row r="202" spans="7:7" x14ac:dyDescent="0.25">
      <c r="G202"/>
    </row>
    <row r="203" spans="7:7" x14ac:dyDescent="0.25">
      <c r="G203"/>
    </row>
    <row r="204" spans="7:7" x14ac:dyDescent="0.25">
      <c r="G204"/>
    </row>
    <row r="205" spans="7:7" x14ac:dyDescent="0.25">
      <c r="G205"/>
    </row>
    <row r="206" spans="7:7" x14ac:dyDescent="0.25">
      <c r="G206"/>
    </row>
    <row r="207" spans="7:7" x14ac:dyDescent="0.25">
      <c r="G207"/>
    </row>
    <row r="208" spans="7:7" x14ac:dyDescent="0.25">
      <c r="G208"/>
    </row>
    <row r="209" spans="7:7" x14ac:dyDescent="0.25">
      <c r="G209"/>
    </row>
    <row r="210" spans="7:7" x14ac:dyDescent="0.25">
      <c r="G210"/>
    </row>
    <row r="211" spans="7:7" x14ac:dyDescent="0.25">
      <c r="G211"/>
    </row>
    <row r="212" spans="7:7" x14ac:dyDescent="0.25">
      <c r="G212"/>
    </row>
    <row r="213" spans="7:7" x14ac:dyDescent="0.25">
      <c r="G213"/>
    </row>
    <row r="214" spans="7:7" x14ac:dyDescent="0.25">
      <c r="G214"/>
    </row>
    <row r="215" spans="7:7" x14ac:dyDescent="0.25">
      <c r="G215"/>
    </row>
    <row r="216" spans="7:7" x14ac:dyDescent="0.25">
      <c r="G216"/>
    </row>
    <row r="217" spans="7:7" x14ac:dyDescent="0.25">
      <c r="G217"/>
    </row>
    <row r="218" spans="7:7" x14ac:dyDescent="0.25">
      <c r="G218"/>
    </row>
    <row r="219" spans="7:7" x14ac:dyDescent="0.25">
      <c r="G219"/>
    </row>
    <row r="220" spans="7:7" x14ac:dyDescent="0.25">
      <c r="G220"/>
    </row>
    <row r="221" spans="7:7" x14ac:dyDescent="0.25">
      <c r="G221"/>
    </row>
    <row r="222" spans="7:7" x14ac:dyDescent="0.25">
      <c r="G222"/>
    </row>
    <row r="223" spans="7:7" x14ac:dyDescent="0.25">
      <c r="G223"/>
    </row>
    <row r="224" spans="7:7" x14ac:dyDescent="0.25">
      <c r="G224"/>
    </row>
    <row r="225" spans="7:7" x14ac:dyDescent="0.25">
      <c r="G225"/>
    </row>
    <row r="226" spans="7:7" x14ac:dyDescent="0.25">
      <c r="G226"/>
    </row>
    <row r="227" spans="7:7" x14ac:dyDescent="0.25">
      <c r="G227"/>
    </row>
    <row r="228" spans="7:7" x14ac:dyDescent="0.25">
      <c r="G228"/>
    </row>
    <row r="229" spans="7:7" x14ac:dyDescent="0.25">
      <c r="G229"/>
    </row>
    <row r="230" spans="7:7" x14ac:dyDescent="0.25">
      <c r="G230"/>
    </row>
    <row r="231" spans="7:7" x14ac:dyDescent="0.25">
      <c r="G231"/>
    </row>
    <row r="232" spans="7:7" x14ac:dyDescent="0.25">
      <c r="G232"/>
    </row>
    <row r="233" spans="7:7" x14ac:dyDescent="0.25">
      <c r="G233"/>
    </row>
    <row r="234" spans="7:7" x14ac:dyDescent="0.25">
      <c r="G234"/>
    </row>
    <row r="235" spans="7:7" x14ac:dyDescent="0.25">
      <c r="G235"/>
    </row>
    <row r="236" spans="7:7" x14ac:dyDescent="0.25">
      <c r="G236"/>
    </row>
    <row r="237" spans="7:7" x14ac:dyDescent="0.25">
      <c r="G237"/>
    </row>
    <row r="238" spans="7:7" x14ac:dyDescent="0.25">
      <c r="G238"/>
    </row>
    <row r="239" spans="7:7" x14ac:dyDescent="0.25">
      <c r="G239"/>
    </row>
    <row r="240" spans="7:7" x14ac:dyDescent="0.25">
      <c r="G240"/>
    </row>
    <row r="241" spans="7:7" x14ac:dyDescent="0.25">
      <c r="G241"/>
    </row>
    <row r="242" spans="7:7" x14ac:dyDescent="0.25">
      <c r="G242"/>
    </row>
    <row r="243" spans="7:7" x14ac:dyDescent="0.25">
      <c r="G243"/>
    </row>
    <row r="244" spans="7:7" x14ac:dyDescent="0.25">
      <c r="G244"/>
    </row>
    <row r="245" spans="7:7" x14ac:dyDescent="0.25">
      <c r="G245"/>
    </row>
    <row r="246" spans="7:7" x14ac:dyDescent="0.25">
      <c r="G246"/>
    </row>
    <row r="247" spans="7:7" x14ac:dyDescent="0.25">
      <c r="G247"/>
    </row>
    <row r="248" spans="7:7" x14ac:dyDescent="0.25">
      <c r="G248"/>
    </row>
    <row r="249" spans="7:7" x14ac:dyDescent="0.25">
      <c r="G249"/>
    </row>
    <row r="250" spans="7:7" x14ac:dyDescent="0.25">
      <c r="G250"/>
    </row>
    <row r="251" spans="7:7" x14ac:dyDescent="0.25">
      <c r="G251"/>
    </row>
    <row r="252" spans="7:7" x14ac:dyDescent="0.25">
      <c r="G252"/>
    </row>
    <row r="253" spans="7:7" x14ac:dyDescent="0.25">
      <c r="G253"/>
    </row>
    <row r="254" spans="7:7" x14ac:dyDescent="0.25">
      <c r="G254"/>
    </row>
    <row r="255" spans="7:7" x14ac:dyDescent="0.25">
      <c r="G255"/>
    </row>
    <row r="256" spans="7:7" x14ac:dyDescent="0.25">
      <c r="G256"/>
    </row>
    <row r="257" spans="7:7" x14ac:dyDescent="0.25">
      <c r="G257"/>
    </row>
    <row r="258" spans="7:7" x14ac:dyDescent="0.25">
      <c r="G258"/>
    </row>
    <row r="259" spans="7:7" x14ac:dyDescent="0.25">
      <c r="G259"/>
    </row>
    <row r="260" spans="7:7" x14ac:dyDescent="0.25">
      <c r="G260"/>
    </row>
    <row r="261" spans="7:7" x14ac:dyDescent="0.25">
      <c r="G261"/>
    </row>
    <row r="262" spans="7:7" x14ac:dyDescent="0.25">
      <c r="G262"/>
    </row>
    <row r="263" spans="7:7" x14ac:dyDescent="0.25">
      <c r="G263"/>
    </row>
    <row r="264" spans="7:7" x14ac:dyDescent="0.25">
      <c r="G264"/>
    </row>
    <row r="265" spans="7:7" x14ac:dyDescent="0.25">
      <c r="G265"/>
    </row>
    <row r="266" spans="7:7" x14ac:dyDescent="0.25">
      <c r="G266"/>
    </row>
    <row r="267" spans="7:7" x14ac:dyDescent="0.25">
      <c r="G267"/>
    </row>
    <row r="268" spans="7:7" x14ac:dyDescent="0.25">
      <c r="G268"/>
    </row>
    <row r="269" spans="7:7" x14ac:dyDescent="0.25">
      <c r="G269"/>
    </row>
    <row r="270" spans="7:7" x14ac:dyDescent="0.25">
      <c r="G270"/>
    </row>
    <row r="271" spans="7:7" x14ac:dyDescent="0.25">
      <c r="G271"/>
    </row>
    <row r="272" spans="7:7" x14ac:dyDescent="0.25">
      <c r="G272"/>
    </row>
    <row r="273" spans="7:7" x14ac:dyDescent="0.25">
      <c r="G273"/>
    </row>
    <row r="274" spans="7:7" x14ac:dyDescent="0.25">
      <c r="G274"/>
    </row>
    <row r="275" spans="7:7" x14ac:dyDescent="0.25">
      <c r="G275"/>
    </row>
    <row r="276" spans="7:7" x14ac:dyDescent="0.25">
      <c r="G276"/>
    </row>
    <row r="277" spans="7:7" x14ac:dyDescent="0.25">
      <c r="G277"/>
    </row>
    <row r="278" spans="7:7" x14ac:dyDescent="0.25">
      <c r="G278"/>
    </row>
    <row r="279" spans="7:7" x14ac:dyDescent="0.25">
      <c r="G279"/>
    </row>
    <row r="280" spans="7:7" x14ac:dyDescent="0.25">
      <c r="G280"/>
    </row>
    <row r="281" spans="7:7" x14ac:dyDescent="0.25">
      <c r="G281"/>
    </row>
    <row r="282" spans="7:7" x14ac:dyDescent="0.25">
      <c r="G282"/>
    </row>
    <row r="283" spans="7:7" x14ac:dyDescent="0.25">
      <c r="G283"/>
    </row>
    <row r="284" spans="7:7" x14ac:dyDescent="0.25">
      <c r="G284"/>
    </row>
    <row r="285" spans="7:7" x14ac:dyDescent="0.25">
      <c r="G285"/>
    </row>
    <row r="286" spans="7:7" x14ac:dyDescent="0.25">
      <c r="G286"/>
    </row>
    <row r="287" spans="7:7" x14ac:dyDescent="0.25">
      <c r="G287"/>
    </row>
    <row r="288" spans="7:7" x14ac:dyDescent="0.25">
      <c r="G288"/>
    </row>
    <row r="289" spans="7:7" x14ac:dyDescent="0.25">
      <c r="G289"/>
    </row>
    <row r="290" spans="7:7" x14ac:dyDescent="0.25">
      <c r="G290"/>
    </row>
    <row r="291" spans="7:7" x14ac:dyDescent="0.25">
      <c r="G291"/>
    </row>
    <row r="292" spans="7:7" x14ac:dyDescent="0.25">
      <c r="G292"/>
    </row>
    <row r="293" spans="7:7" x14ac:dyDescent="0.25">
      <c r="G293"/>
    </row>
    <row r="294" spans="7:7" x14ac:dyDescent="0.25">
      <c r="G294"/>
    </row>
    <row r="295" spans="7:7" x14ac:dyDescent="0.25">
      <c r="G295"/>
    </row>
    <row r="296" spans="7:7" x14ac:dyDescent="0.25">
      <c r="G296"/>
    </row>
    <row r="297" spans="7:7" x14ac:dyDescent="0.25">
      <c r="G297"/>
    </row>
    <row r="298" spans="7:7" x14ac:dyDescent="0.25">
      <c r="G298"/>
    </row>
    <row r="299" spans="7:7" x14ac:dyDescent="0.25">
      <c r="G299"/>
    </row>
    <row r="300" spans="7:7" x14ac:dyDescent="0.25">
      <c r="G300"/>
    </row>
    <row r="301" spans="7:7" x14ac:dyDescent="0.25">
      <c r="G301"/>
    </row>
    <row r="302" spans="7:7" x14ac:dyDescent="0.25">
      <c r="G302"/>
    </row>
    <row r="303" spans="7:7" x14ac:dyDescent="0.25">
      <c r="G303"/>
    </row>
    <row r="304" spans="7:7" x14ac:dyDescent="0.25">
      <c r="G304"/>
    </row>
    <row r="305" spans="7:7" x14ac:dyDescent="0.25">
      <c r="G305"/>
    </row>
    <row r="306" spans="7:7" x14ac:dyDescent="0.25">
      <c r="G306"/>
    </row>
    <row r="307" spans="7:7" x14ac:dyDescent="0.25">
      <c r="G307"/>
    </row>
    <row r="308" spans="7:7" x14ac:dyDescent="0.25">
      <c r="G308"/>
    </row>
    <row r="309" spans="7:7" x14ac:dyDescent="0.25">
      <c r="G309"/>
    </row>
    <row r="310" spans="7:7" x14ac:dyDescent="0.25">
      <c r="G310"/>
    </row>
    <row r="311" spans="7:7" x14ac:dyDescent="0.25">
      <c r="G311"/>
    </row>
    <row r="312" spans="7:7" x14ac:dyDescent="0.25">
      <c r="G312"/>
    </row>
    <row r="313" spans="7:7" x14ac:dyDescent="0.25">
      <c r="G313"/>
    </row>
    <row r="314" spans="7:7" x14ac:dyDescent="0.25">
      <c r="G314"/>
    </row>
    <row r="315" spans="7:7" x14ac:dyDescent="0.25">
      <c r="G315"/>
    </row>
    <row r="316" spans="7:7" x14ac:dyDescent="0.25">
      <c r="G316"/>
    </row>
    <row r="317" spans="7:7" x14ac:dyDescent="0.25">
      <c r="G317"/>
    </row>
    <row r="318" spans="7:7" x14ac:dyDescent="0.25">
      <c r="G318"/>
    </row>
    <row r="319" spans="7:7" x14ac:dyDescent="0.25">
      <c r="G319"/>
    </row>
    <row r="320" spans="7:7" x14ac:dyDescent="0.25">
      <c r="G320"/>
    </row>
    <row r="321" spans="7:7" x14ac:dyDescent="0.25">
      <c r="G321"/>
    </row>
    <row r="322" spans="7:7" x14ac:dyDescent="0.25">
      <c r="G322"/>
    </row>
    <row r="323" spans="7:7" x14ac:dyDescent="0.25">
      <c r="G323"/>
    </row>
    <row r="324" spans="7:7" x14ac:dyDescent="0.25">
      <c r="G324"/>
    </row>
    <row r="325" spans="7:7" x14ac:dyDescent="0.25">
      <c r="G325"/>
    </row>
    <row r="326" spans="7:7" x14ac:dyDescent="0.25">
      <c r="G326"/>
    </row>
    <row r="327" spans="7:7" x14ac:dyDescent="0.25">
      <c r="G327"/>
    </row>
    <row r="328" spans="7:7" x14ac:dyDescent="0.25">
      <c r="G328"/>
    </row>
    <row r="329" spans="7:7" x14ac:dyDescent="0.25">
      <c r="G329"/>
    </row>
    <row r="330" spans="7:7" x14ac:dyDescent="0.25">
      <c r="G330"/>
    </row>
    <row r="331" spans="7:7" x14ac:dyDescent="0.25">
      <c r="G331"/>
    </row>
    <row r="332" spans="7:7" x14ac:dyDescent="0.25">
      <c r="G332"/>
    </row>
    <row r="333" spans="7:7" x14ac:dyDescent="0.25">
      <c r="G333"/>
    </row>
    <row r="334" spans="7:7" x14ac:dyDescent="0.25">
      <c r="G334"/>
    </row>
    <row r="335" spans="7:7" x14ac:dyDescent="0.25">
      <c r="G335"/>
    </row>
    <row r="336" spans="7:7" x14ac:dyDescent="0.25">
      <c r="G336"/>
    </row>
    <row r="337" spans="7:7" x14ac:dyDescent="0.25">
      <c r="G337"/>
    </row>
    <row r="338" spans="7:7" x14ac:dyDescent="0.25">
      <c r="G338"/>
    </row>
    <row r="339" spans="7:7" x14ac:dyDescent="0.25">
      <c r="G339"/>
    </row>
    <row r="340" spans="7:7" x14ac:dyDescent="0.25">
      <c r="G340"/>
    </row>
    <row r="341" spans="7:7" x14ac:dyDescent="0.25">
      <c r="G341"/>
    </row>
    <row r="342" spans="7:7" x14ac:dyDescent="0.25">
      <c r="G342"/>
    </row>
    <row r="343" spans="7:7" x14ac:dyDescent="0.25">
      <c r="G343"/>
    </row>
    <row r="344" spans="7:7" x14ac:dyDescent="0.25">
      <c r="G344"/>
    </row>
    <row r="345" spans="7:7" x14ac:dyDescent="0.25">
      <c r="G345"/>
    </row>
    <row r="346" spans="7:7" x14ac:dyDescent="0.25">
      <c r="G346"/>
    </row>
    <row r="347" spans="7:7" x14ac:dyDescent="0.25">
      <c r="G347"/>
    </row>
    <row r="348" spans="7:7" x14ac:dyDescent="0.25">
      <c r="G348"/>
    </row>
    <row r="349" spans="7:7" x14ac:dyDescent="0.25">
      <c r="G349"/>
    </row>
    <row r="350" spans="7:7" x14ac:dyDescent="0.25">
      <c r="G350"/>
    </row>
    <row r="351" spans="7:7" x14ac:dyDescent="0.25">
      <c r="G351"/>
    </row>
    <row r="352" spans="7:7" x14ac:dyDescent="0.25">
      <c r="G352"/>
    </row>
    <row r="353" spans="7:7" x14ac:dyDescent="0.25">
      <c r="G353"/>
    </row>
    <row r="354" spans="7:7" x14ac:dyDescent="0.25">
      <c r="G354"/>
    </row>
    <row r="355" spans="7:7" x14ac:dyDescent="0.25">
      <c r="G355"/>
    </row>
    <row r="356" spans="7:7" x14ac:dyDescent="0.25">
      <c r="G356"/>
    </row>
    <row r="357" spans="7:7" x14ac:dyDescent="0.25">
      <c r="G357"/>
    </row>
    <row r="358" spans="7:7" x14ac:dyDescent="0.25">
      <c r="G358"/>
    </row>
    <row r="359" spans="7:7" x14ac:dyDescent="0.25">
      <c r="G359"/>
    </row>
    <row r="360" spans="7:7" x14ac:dyDescent="0.25">
      <c r="G360"/>
    </row>
    <row r="361" spans="7:7" x14ac:dyDescent="0.25">
      <c r="G361"/>
    </row>
    <row r="362" spans="7:7" x14ac:dyDescent="0.25">
      <c r="G362"/>
    </row>
    <row r="363" spans="7:7" x14ac:dyDescent="0.25">
      <c r="G363"/>
    </row>
    <row r="364" spans="7:7" x14ac:dyDescent="0.25">
      <c r="G364"/>
    </row>
    <row r="365" spans="7:7" x14ac:dyDescent="0.25">
      <c r="G365"/>
    </row>
    <row r="366" spans="7:7" x14ac:dyDescent="0.25">
      <c r="G366"/>
    </row>
    <row r="367" spans="7:7" x14ac:dyDescent="0.25">
      <c r="G367"/>
    </row>
    <row r="368" spans="7:7" x14ac:dyDescent="0.25">
      <c r="G368"/>
    </row>
    <row r="369" spans="7:7" x14ac:dyDescent="0.25">
      <c r="G369"/>
    </row>
    <row r="370" spans="7:7" x14ac:dyDescent="0.25">
      <c r="G370"/>
    </row>
    <row r="371" spans="7:7" x14ac:dyDescent="0.25">
      <c r="G371"/>
    </row>
    <row r="372" spans="7:7" x14ac:dyDescent="0.25">
      <c r="G372"/>
    </row>
    <row r="373" spans="7:7" x14ac:dyDescent="0.25">
      <c r="G373"/>
    </row>
    <row r="374" spans="7:7" x14ac:dyDescent="0.25">
      <c r="G374"/>
    </row>
    <row r="375" spans="7:7" x14ac:dyDescent="0.25">
      <c r="G375"/>
    </row>
    <row r="376" spans="7:7" x14ac:dyDescent="0.25">
      <c r="G376"/>
    </row>
    <row r="377" spans="7:7" x14ac:dyDescent="0.25">
      <c r="G377"/>
    </row>
    <row r="378" spans="7:7" x14ac:dyDescent="0.25">
      <c r="G378"/>
    </row>
    <row r="379" spans="7:7" x14ac:dyDescent="0.25">
      <c r="G379"/>
    </row>
    <row r="380" spans="7:7" x14ac:dyDescent="0.25">
      <c r="G380"/>
    </row>
    <row r="381" spans="7:7" x14ac:dyDescent="0.25">
      <c r="G381"/>
    </row>
    <row r="382" spans="7:7" x14ac:dyDescent="0.25">
      <c r="G382"/>
    </row>
    <row r="383" spans="7:7" x14ac:dyDescent="0.25">
      <c r="G383"/>
    </row>
    <row r="384" spans="7:7" x14ac:dyDescent="0.25">
      <c r="G384"/>
    </row>
    <row r="385" spans="7:7" x14ac:dyDescent="0.25">
      <c r="G385"/>
    </row>
    <row r="386" spans="7:7" x14ac:dyDescent="0.25">
      <c r="G386"/>
    </row>
    <row r="387" spans="7:7" x14ac:dyDescent="0.25">
      <c r="G387"/>
    </row>
    <row r="388" spans="7:7" x14ac:dyDescent="0.25">
      <c r="G388"/>
    </row>
    <row r="389" spans="7:7" x14ac:dyDescent="0.25">
      <c r="G389"/>
    </row>
    <row r="390" spans="7:7" x14ac:dyDescent="0.25">
      <c r="G390"/>
    </row>
    <row r="391" spans="7:7" x14ac:dyDescent="0.25">
      <c r="G391"/>
    </row>
    <row r="392" spans="7:7" x14ac:dyDescent="0.25">
      <c r="G392"/>
    </row>
    <row r="393" spans="7:7" x14ac:dyDescent="0.25">
      <c r="G393"/>
    </row>
    <row r="394" spans="7:7" x14ac:dyDescent="0.25">
      <c r="G394"/>
    </row>
    <row r="395" spans="7:7" x14ac:dyDescent="0.25">
      <c r="G395"/>
    </row>
    <row r="396" spans="7:7" x14ac:dyDescent="0.25">
      <c r="G396"/>
    </row>
    <row r="397" spans="7:7" x14ac:dyDescent="0.25">
      <c r="G397"/>
    </row>
    <row r="398" spans="7:7" x14ac:dyDescent="0.25">
      <c r="G398"/>
    </row>
    <row r="399" spans="7:7" x14ac:dyDescent="0.25">
      <c r="G399"/>
    </row>
    <row r="400" spans="7:7" x14ac:dyDescent="0.25">
      <c r="G400"/>
    </row>
    <row r="401" spans="7:7" x14ac:dyDescent="0.25">
      <c r="G401"/>
    </row>
    <row r="402" spans="7:7" x14ac:dyDescent="0.25">
      <c r="G402"/>
    </row>
    <row r="403" spans="7:7" x14ac:dyDescent="0.25">
      <c r="G403"/>
    </row>
    <row r="404" spans="7:7" x14ac:dyDescent="0.25">
      <c r="G404"/>
    </row>
    <row r="405" spans="7:7" x14ac:dyDescent="0.25">
      <c r="G405"/>
    </row>
    <row r="406" spans="7:7" x14ac:dyDescent="0.25">
      <c r="G406"/>
    </row>
    <row r="407" spans="7:7" x14ac:dyDescent="0.25">
      <c r="G407"/>
    </row>
    <row r="408" spans="7:7" x14ac:dyDescent="0.25">
      <c r="G408"/>
    </row>
    <row r="409" spans="7:7" x14ac:dyDescent="0.25">
      <c r="G409"/>
    </row>
    <row r="410" spans="7:7" x14ac:dyDescent="0.25">
      <c r="G410"/>
    </row>
    <row r="411" spans="7:7" x14ac:dyDescent="0.25">
      <c r="G411"/>
    </row>
    <row r="412" spans="7:7" x14ac:dyDescent="0.25">
      <c r="G412"/>
    </row>
    <row r="413" spans="7:7" x14ac:dyDescent="0.25">
      <c r="G413"/>
    </row>
    <row r="414" spans="7:7" x14ac:dyDescent="0.25">
      <c r="G414"/>
    </row>
    <row r="415" spans="7:7" x14ac:dyDescent="0.25">
      <c r="G415"/>
    </row>
    <row r="416" spans="7:7" x14ac:dyDescent="0.25">
      <c r="G416"/>
    </row>
    <row r="417" spans="7:7" x14ac:dyDescent="0.25">
      <c r="G417"/>
    </row>
    <row r="418" spans="7:7" x14ac:dyDescent="0.25">
      <c r="G418"/>
    </row>
    <row r="419" spans="7:7" x14ac:dyDescent="0.25">
      <c r="G419"/>
    </row>
    <row r="420" spans="7:7" x14ac:dyDescent="0.25">
      <c r="G420"/>
    </row>
    <row r="421" spans="7:7" x14ac:dyDescent="0.25">
      <c r="G421"/>
    </row>
    <row r="422" spans="7:7" x14ac:dyDescent="0.25">
      <c r="G422"/>
    </row>
    <row r="423" spans="7:7" x14ac:dyDescent="0.25">
      <c r="G423"/>
    </row>
    <row r="424" spans="7:7" x14ac:dyDescent="0.25">
      <c r="G424"/>
    </row>
    <row r="425" spans="7:7" x14ac:dyDescent="0.25">
      <c r="G425"/>
    </row>
    <row r="426" spans="7:7" x14ac:dyDescent="0.25">
      <c r="G426"/>
    </row>
    <row r="427" spans="7:7" x14ac:dyDescent="0.25">
      <c r="G427"/>
    </row>
    <row r="428" spans="7:7" x14ac:dyDescent="0.25">
      <c r="G428"/>
    </row>
    <row r="429" spans="7:7" x14ac:dyDescent="0.25">
      <c r="G429"/>
    </row>
    <row r="430" spans="7:7" x14ac:dyDescent="0.25">
      <c r="G430"/>
    </row>
    <row r="431" spans="7:7" x14ac:dyDescent="0.25">
      <c r="G431"/>
    </row>
    <row r="432" spans="7:7" x14ac:dyDescent="0.25">
      <c r="G432"/>
    </row>
    <row r="433" spans="7:7" x14ac:dyDescent="0.25">
      <c r="G433"/>
    </row>
    <row r="434" spans="7:7" x14ac:dyDescent="0.25">
      <c r="G434"/>
    </row>
    <row r="435" spans="7:7" x14ac:dyDescent="0.25">
      <c r="G435"/>
    </row>
    <row r="436" spans="7:7" x14ac:dyDescent="0.25">
      <c r="G436"/>
    </row>
    <row r="437" spans="7:7" x14ac:dyDescent="0.25">
      <c r="G437"/>
    </row>
    <row r="438" spans="7:7" x14ac:dyDescent="0.25">
      <c r="G438"/>
    </row>
    <row r="439" spans="7:7" x14ac:dyDescent="0.25">
      <c r="G439"/>
    </row>
    <row r="440" spans="7:7" x14ac:dyDescent="0.25">
      <c r="G440"/>
    </row>
    <row r="441" spans="7:7" x14ac:dyDescent="0.25">
      <c r="G441"/>
    </row>
    <row r="442" spans="7:7" x14ac:dyDescent="0.25">
      <c r="G442"/>
    </row>
    <row r="443" spans="7:7" x14ac:dyDescent="0.25">
      <c r="G443"/>
    </row>
    <row r="444" spans="7:7" x14ac:dyDescent="0.25">
      <c r="G444"/>
    </row>
    <row r="445" spans="7:7" x14ac:dyDescent="0.25">
      <c r="G445"/>
    </row>
    <row r="446" spans="7:7" x14ac:dyDescent="0.25">
      <c r="G446"/>
    </row>
    <row r="447" spans="7:7" x14ac:dyDescent="0.25">
      <c r="G447"/>
    </row>
    <row r="448" spans="7:7" x14ac:dyDescent="0.25">
      <c r="G448"/>
    </row>
    <row r="449" spans="7:7" x14ac:dyDescent="0.25">
      <c r="G449"/>
    </row>
    <row r="450" spans="7:7" x14ac:dyDescent="0.25">
      <c r="G450"/>
    </row>
    <row r="451" spans="7:7" x14ac:dyDescent="0.25">
      <c r="G451"/>
    </row>
    <row r="452" spans="7:7" x14ac:dyDescent="0.25">
      <c r="G452"/>
    </row>
    <row r="453" spans="7:7" x14ac:dyDescent="0.25">
      <c r="G453"/>
    </row>
    <row r="454" spans="7:7" x14ac:dyDescent="0.25">
      <c r="G454"/>
    </row>
    <row r="455" spans="7:7" x14ac:dyDescent="0.25">
      <c r="G455"/>
    </row>
    <row r="456" spans="7:7" x14ac:dyDescent="0.25">
      <c r="G456"/>
    </row>
    <row r="457" spans="7:7" x14ac:dyDescent="0.25">
      <c r="G457"/>
    </row>
    <row r="458" spans="7:7" x14ac:dyDescent="0.25">
      <c r="G458"/>
    </row>
    <row r="459" spans="7:7" x14ac:dyDescent="0.25">
      <c r="G459"/>
    </row>
    <row r="460" spans="7:7" x14ac:dyDescent="0.25">
      <c r="G460"/>
    </row>
    <row r="461" spans="7:7" x14ac:dyDescent="0.25">
      <c r="G461"/>
    </row>
    <row r="462" spans="7:7" x14ac:dyDescent="0.25">
      <c r="G462"/>
    </row>
    <row r="463" spans="7:7" x14ac:dyDescent="0.25">
      <c r="G463"/>
    </row>
    <row r="464" spans="7:7" x14ac:dyDescent="0.25">
      <c r="G464"/>
    </row>
    <row r="465" spans="7:7" x14ac:dyDescent="0.25">
      <c r="G465"/>
    </row>
    <row r="466" spans="7:7" x14ac:dyDescent="0.25">
      <c r="G466"/>
    </row>
    <row r="467" spans="7:7" x14ac:dyDescent="0.25">
      <c r="G467"/>
    </row>
    <row r="468" spans="7:7" x14ac:dyDescent="0.25">
      <c r="G468"/>
    </row>
    <row r="469" spans="7:7" x14ac:dyDescent="0.25">
      <c r="G469"/>
    </row>
    <row r="470" spans="7:7" x14ac:dyDescent="0.25">
      <c r="G470"/>
    </row>
    <row r="471" spans="7:7" x14ac:dyDescent="0.25">
      <c r="G471"/>
    </row>
    <row r="472" spans="7:7" x14ac:dyDescent="0.25">
      <c r="G472"/>
    </row>
    <row r="473" spans="7:7" x14ac:dyDescent="0.25">
      <c r="G473"/>
    </row>
    <row r="474" spans="7:7" x14ac:dyDescent="0.25">
      <c r="G474"/>
    </row>
    <row r="475" spans="7:7" x14ac:dyDescent="0.25">
      <c r="G475"/>
    </row>
    <row r="476" spans="7:7" x14ac:dyDescent="0.25">
      <c r="G476"/>
    </row>
    <row r="477" spans="7:7" x14ac:dyDescent="0.25">
      <c r="G477"/>
    </row>
    <row r="478" spans="7:7" x14ac:dyDescent="0.25">
      <c r="G478"/>
    </row>
    <row r="479" spans="7:7" x14ac:dyDescent="0.25">
      <c r="G479"/>
    </row>
    <row r="480" spans="7:7" x14ac:dyDescent="0.25">
      <c r="G480"/>
    </row>
    <row r="481" spans="7:7" x14ac:dyDescent="0.25">
      <c r="G481"/>
    </row>
    <row r="482" spans="7:7" x14ac:dyDescent="0.25">
      <c r="G482"/>
    </row>
    <row r="483" spans="7:7" x14ac:dyDescent="0.25">
      <c r="G483"/>
    </row>
    <row r="484" spans="7:7" x14ac:dyDescent="0.25">
      <c r="G484"/>
    </row>
    <row r="485" spans="7:7" x14ac:dyDescent="0.25">
      <c r="G485"/>
    </row>
    <row r="486" spans="7:7" x14ac:dyDescent="0.25">
      <c r="G486"/>
    </row>
    <row r="487" spans="7:7" x14ac:dyDescent="0.25">
      <c r="G487"/>
    </row>
    <row r="488" spans="7:7" x14ac:dyDescent="0.25">
      <c r="G488"/>
    </row>
    <row r="489" spans="7:7" x14ac:dyDescent="0.25">
      <c r="G489"/>
    </row>
    <row r="490" spans="7:7" x14ac:dyDescent="0.25">
      <c r="G490"/>
    </row>
    <row r="491" spans="7:7" x14ac:dyDescent="0.25">
      <c r="G491"/>
    </row>
    <row r="492" spans="7:7" x14ac:dyDescent="0.25">
      <c r="G492"/>
    </row>
    <row r="493" spans="7:7" x14ac:dyDescent="0.25">
      <c r="G493"/>
    </row>
    <row r="494" spans="7:7" x14ac:dyDescent="0.25">
      <c r="G494"/>
    </row>
    <row r="495" spans="7:7" x14ac:dyDescent="0.25">
      <c r="G495"/>
    </row>
    <row r="496" spans="7:7" x14ac:dyDescent="0.25">
      <c r="G496"/>
    </row>
    <row r="497" spans="7:7" x14ac:dyDescent="0.25">
      <c r="G497"/>
    </row>
    <row r="498" spans="7:7" x14ac:dyDescent="0.25">
      <c r="G498"/>
    </row>
    <row r="499" spans="7:7" x14ac:dyDescent="0.25">
      <c r="G499"/>
    </row>
    <row r="500" spans="7:7" x14ac:dyDescent="0.25">
      <c r="G500"/>
    </row>
    <row r="501" spans="7:7" x14ac:dyDescent="0.25">
      <c r="G501"/>
    </row>
    <row r="502" spans="7:7" x14ac:dyDescent="0.25">
      <c r="G502"/>
    </row>
    <row r="503" spans="7:7" x14ac:dyDescent="0.25">
      <c r="G503"/>
    </row>
    <row r="504" spans="7:7" x14ac:dyDescent="0.25">
      <c r="G504"/>
    </row>
    <row r="505" spans="7:7" x14ac:dyDescent="0.25">
      <c r="G505"/>
    </row>
    <row r="506" spans="7:7" x14ac:dyDescent="0.25">
      <c r="G506"/>
    </row>
    <row r="507" spans="7:7" x14ac:dyDescent="0.25">
      <c r="G507"/>
    </row>
    <row r="508" spans="7:7" x14ac:dyDescent="0.25">
      <c r="G508"/>
    </row>
    <row r="509" spans="7:7" x14ac:dyDescent="0.25">
      <c r="G509"/>
    </row>
    <row r="510" spans="7:7" x14ac:dyDescent="0.25">
      <c r="G510"/>
    </row>
    <row r="511" spans="7:7" x14ac:dyDescent="0.25">
      <c r="G511"/>
    </row>
    <row r="512" spans="7:7" x14ac:dyDescent="0.25">
      <c r="G512"/>
    </row>
    <row r="513" spans="7:7" x14ac:dyDescent="0.25">
      <c r="G513"/>
    </row>
    <row r="514" spans="7:7" x14ac:dyDescent="0.25">
      <c r="G514"/>
    </row>
    <row r="515" spans="7:7" x14ac:dyDescent="0.25">
      <c r="G515"/>
    </row>
    <row r="516" spans="7:7" x14ac:dyDescent="0.25">
      <c r="G516"/>
    </row>
    <row r="517" spans="7:7" x14ac:dyDescent="0.25">
      <c r="G517"/>
    </row>
    <row r="518" spans="7:7" x14ac:dyDescent="0.25">
      <c r="G518"/>
    </row>
    <row r="519" spans="7:7" x14ac:dyDescent="0.25">
      <c r="G519"/>
    </row>
    <row r="520" spans="7:7" x14ac:dyDescent="0.25">
      <c r="G520"/>
    </row>
    <row r="521" spans="7:7" x14ac:dyDescent="0.25">
      <c r="G521"/>
    </row>
    <row r="522" spans="7:7" x14ac:dyDescent="0.25">
      <c r="G522"/>
    </row>
    <row r="523" spans="7:7" x14ac:dyDescent="0.25">
      <c r="G523"/>
    </row>
    <row r="524" spans="7:7" x14ac:dyDescent="0.25">
      <c r="G524"/>
    </row>
    <row r="525" spans="7:7" x14ac:dyDescent="0.25">
      <c r="G525"/>
    </row>
    <row r="526" spans="7:7" x14ac:dyDescent="0.25">
      <c r="G526"/>
    </row>
    <row r="527" spans="7:7" x14ac:dyDescent="0.25">
      <c r="G527"/>
    </row>
    <row r="528" spans="7:7" x14ac:dyDescent="0.25">
      <c r="G528"/>
    </row>
    <row r="529" spans="7:7" x14ac:dyDescent="0.25">
      <c r="G529"/>
    </row>
    <row r="530" spans="7:7" x14ac:dyDescent="0.25">
      <c r="G530"/>
    </row>
    <row r="531" spans="7:7" x14ac:dyDescent="0.25">
      <c r="G531"/>
    </row>
    <row r="532" spans="7:7" x14ac:dyDescent="0.25">
      <c r="G532"/>
    </row>
    <row r="533" spans="7:7" x14ac:dyDescent="0.25">
      <c r="G533"/>
    </row>
    <row r="534" spans="7:7" x14ac:dyDescent="0.25">
      <c r="G534"/>
    </row>
    <row r="535" spans="7:7" x14ac:dyDescent="0.25">
      <c r="G535"/>
    </row>
    <row r="536" spans="7:7" x14ac:dyDescent="0.25">
      <c r="G536"/>
    </row>
    <row r="537" spans="7:7" x14ac:dyDescent="0.25">
      <c r="G537"/>
    </row>
    <row r="538" spans="7:7" x14ac:dyDescent="0.25">
      <c r="G53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287AB-54B5-41EC-B1C2-858F46E9AF72}">
  <dimension ref="B1:C14"/>
  <sheetViews>
    <sheetView showGridLines="0" workbookViewId="0">
      <selection activeCell="E17" sqref="E17"/>
    </sheetView>
  </sheetViews>
  <sheetFormatPr baseColWidth="10" defaultRowHeight="15" x14ac:dyDescent="0.25"/>
  <cols>
    <col min="2" max="2" width="23" bestFit="1" customWidth="1"/>
    <col min="3" max="4" width="17.5703125" bestFit="1" customWidth="1"/>
  </cols>
  <sheetData>
    <row r="1" spans="2:3" x14ac:dyDescent="0.25">
      <c r="B1" s="10" t="s">
        <v>3</v>
      </c>
      <c r="C1" t="s">
        <v>578</v>
      </c>
    </row>
    <row r="2" spans="2:3" x14ac:dyDescent="0.25">
      <c r="B2" s="10" t="s">
        <v>4</v>
      </c>
      <c r="C2" t="s">
        <v>578</v>
      </c>
    </row>
    <row r="4" spans="2:3" x14ac:dyDescent="0.25">
      <c r="B4" s="12" t="s">
        <v>579</v>
      </c>
      <c r="C4" s="14" t="s">
        <v>599</v>
      </c>
    </row>
    <row r="5" spans="2:3" x14ac:dyDescent="0.25">
      <c r="B5" s="36" t="s">
        <v>50</v>
      </c>
      <c r="C5" s="17">
        <v>0.52700000000000002</v>
      </c>
    </row>
    <row r="6" spans="2:3" x14ac:dyDescent="0.25">
      <c r="B6" s="36" t="s">
        <v>28</v>
      </c>
      <c r="C6" s="17">
        <v>0.61899999999999988</v>
      </c>
    </row>
    <row r="7" spans="2:3" x14ac:dyDescent="0.25">
      <c r="B7" s="36" t="s">
        <v>40</v>
      </c>
      <c r="C7" s="17">
        <v>0.54299999999999993</v>
      </c>
    </row>
    <row r="8" spans="2:3" x14ac:dyDescent="0.25">
      <c r="B8" s="36" t="s">
        <v>61</v>
      </c>
      <c r="C8" s="17">
        <v>0.49599999999999994</v>
      </c>
    </row>
    <row r="9" spans="2:3" x14ac:dyDescent="0.25">
      <c r="B9" s="36" t="s">
        <v>36</v>
      </c>
      <c r="C9" s="17">
        <v>0.55099999999999993</v>
      </c>
    </row>
    <row r="10" spans="2:3" x14ac:dyDescent="0.25">
      <c r="B10" s="36" t="s">
        <v>42</v>
      </c>
      <c r="C10" s="17">
        <v>0.56100000000000005</v>
      </c>
    </row>
    <row r="11" spans="2:3" x14ac:dyDescent="0.25">
      <c r="B11" s="36" t="s">
        <v>33</v>
      </c>
      <c r="C11" s="17">
        <v>0.63700000000000012</v>
      </c>
    </row>
    <row r="12" spans="2:3" x14ac:dyDescent="0.25">
      <c r="B12" s="36" t="s">
        <v>38</v>
      </c>
      <c r="C12" s="17">
        <v>0.56600000000000006</v>
      </c>
    </row>
    <row r="13" spans="2:3" x14ac:dyDescent="0.25">
      <c r="B13" s="36" t="s">
        <v>30</v>
      </c>
      <c r="C13" s="17">
        <v>0.54099999999999993</v>
      </c>
    </row>
    <row r="14" spans="2:3" x14ac:dyDescent="0.25">
      <c r="B14" s="37" t="s">
        <v>48</v>
      </c>
      <c r="C14" s="20">
        <v>0.5179999999999999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B693D-8A2A-4216-86DE-96A6490199E0}">
  <dimension ref="A5:D21"/>
  <sheetViews>
    <sheetView workbookViewId="0">
      <selection activeCell="J28" sqref="J28"/>
    </sheetView>
  </sheetViews>
  <sheetFormatPr baseColWidth="10" defaultRowHeight="15" x14ac:dyDescent="0.25"/>
  <cols>
    <col min="1" max="1" width="21.140625" bestFit="1" customWidth="1"/>
    <col min="2" max="2" width="14.42578125" bestFit="1" customWidth="1"/>
    <col min="3" max="4" width="12.28515625" bestFit="1" customWidth="1"/>
    <col min="5" max="6" width="12.140625" bestFit="1" customWidth="1"/>
  </cols>
  <sheetData>
    <row r="5" spans="1:4" x14ac:dyDescent="0.25">
      <c r="A5" s="10" t="s">
        <v>579</v>
      </c>
      <c r="B5" t="s">
        <v>581</v>
      </c>
      <c r="C5" t="s">
        <v>583</v>
      </c>
      <c r="D5" t="s">
        <v>582</v>
      </c>
    </row>
    <row r="6" spans="1:4" x14ac:dyDescent="0.25">
      <c r="A6" s="34" t="s">
        <v>84</v>
      </c>
      <c r="B6" s="11">
        <v>31.4</v>
      </c>
      <c r="C6" s="11">
        <v>21</v>
      </c>
      <c r="D6" s="11">
        <v>4.3000000000000007</v>
      </c>
    </row>
    <row r="7" spans="1:4" x14ac:dyDescent="0.25">
      <c r="A7" s="35" t="s">
        <v>250</v>
      </c>
      <c r="B7" s="11">
        <v>9.4</v>
      </c>
      <c r="C7" s="11">
        <v>9</v>
      </c>
      <c r="D7" s="11">
        <v>1.3</v>
      </c>
    </row>
    <row r="8" spans="1:4" x14ac:dyDescent="0.25">
      <c r="A8" s="35" t="s">
        <v>249</v>
      </c>
      <c r="B8" s="11">
        <v>9.5</v>
      </c>
      <c r="C8" s="11">
        <v>4.3</v>
      </c>
      <c r="D8" s="11">
        <v>1.6</v>
      </c>
    </row>
    <row r="9" spans="1:4" x14ac:dyDescent="0.25">
      <c r="A9" s="35" t="s">
        <v>534</v>
      </c>
      <c r="B9" s="11">
        <v>1</v>
      </c>
      <c r="C9" s="11">
        <v>1</v>
      </c>
      <c r="D9" s="11">
        <v>0</v>
      </c>
    </row>
    <row r="10" spans="1:4" x14ac:dyDescent="0.25">
      <c r="A10" s="35" t="s">
        <v>204</v>
      </c>
      <c r="B10" s="11">
        <v>11.5</v>
      </c>
      <c r="C10" s="11">
        <v>6.7</v>
      </c>
      <c r="D10" s="11">
        <v>1.4</v>
      </c>
    </row>
    <row r="11" spans="1:4" x14ac:dyDescent="0.25">
      <c r="A11" s="34" t="s">
        <v>41</v>
      </c>
      <c r="B11" s="11">
        <v>78.800000000000011</v>
      </c>
      <c r="C11" s="11">
        <v>38.5</v>
      </c>
      <c r="D11" s="11">
        <v>14.299999999999999</v>
      </c>
    </row>
    <row r="12" spans="1:4" x14ac:dyDescent="0.25">
      <c r="A12" s="35" t="s">
        <v>271</v>
      </c>
      <c r="B12" s="11">
        <v>8.8000000000000007</v>
      </c>
      <c r="C12" s="11">
        <v>5.3</v>
      </c>
      <c r="D12" s="11">
        <v>2.2999999999999998</v>
      </c>
    </row>
    <row r="13" spans="1:4" x14ac:dyDescent="0.25">
      <c r="A13" s="35" t="s">
        <v>448</v>
      </c>
      <c r="B13" s="11">
        <v>3.2</v>
      </c>
      <c r="C13" s="11">
        <v>2.1</v>
      </c>
      <c r="D13" s="11">
        <v>0.7</v>
      </c>
    </row>
    <row r="14" spans="1:4" x14ac:dyDescent="0.25">
      <c r="A14" s="35" t="s">
        <v>40</v>
      </c>
      <c r="B14" s="11">
        <v>28.2</v>
      </c>
      <c r="C14" s="11">
        <v>9.4</v>
      </c>
      <c r="D14" s="11">
        <v>5.6</v>
      </c>
    </row>
    <row r="15" spans="1:4" x14ac:dyDescent="0.25">
      <c r="A15" s="35" t="s">
        <v>509</v>
      </c>
      <c r="B15" s="11">
        <v>1.7</v>
      </c>
      <c r="C15" s="11">
        <v>1.3</v>
      </c>
      <c r="D15" s="11">
        <v>0.3</v>
      </c>
    </row>
    <row r="16" spans="1:4" x14ac:dyDescent="0.25">
      <c r="A16" s="35" t="s">
        <v>127</v>
      </c>
      <c r="B16" s="11">
        <v>17.7</v>
      </c>
      <c r="C16" s="11">
        <v>6.3</v>
      </c>
      <c r="D16" s="11">
        <v>1.7</v>
      </c>
    </row>
    <row r="17" spans="1:4" x14ac:dyDescent="0.25">
      <c r="A17" s="35" t="s">
        <v>392</v>
      </c>
      <c r="B17" s="11">
        <v>4.7</v>
      </c>
      <c r="C17" s="11">
        <v>5.0999999999999996</v>
      </c>
      <c r="D17" s="11">
        <v>1.6</v>
      </c>
    </row>
    <row r="18" spans="1:4" x14ac:dyDescent="0.25">
      <c r="A18" s="35" t="s">
        <v>366</v>
      </c>
      <c r="B18" s="11">
        <v>5.5</v>
      </c>
      <c r="C18" s="11">
        <v>4.4000000000000004</v>
      </c>
      <c r="D18" s="11">
        <v>0.7</v>
      </c>
    </row>
    <row r="19" spans="1:4" x14ac:dyDescent="0.25">
      <c r="A19" s="35" t="s">
        <v>294</v>
      </c>
      <c r="B19" s="11">
        <v>7.9</v>
      </c>
      <c r="C19" s="11">
        <v>3.1</v>
      </c>
      <c r="D19" s="11">
        <v>1.1000000000000001</v>
      </c>
    </row>
    <row r="20" spans="1:4" x14ac:dyDescent="0.25">
      <c r="A20" s="35" t="s">
        <v>532</v>
      </c>
      <c r="B20" s="11">
        <v>1.1000000000000001</v>
      </c>
      <c r="C20" s="11">
        <v>1.5</v>
      </c>
      <c r="D20" s="11">
        <v>0.3</v>
      </c>
    </row>
    <row r="21" spans="1:4" x14ac:dyDescent="0.25">
      <c r="A21" s="34" t="s">
        <v>580</v>
      </c>
      <c r="B21" s="11">
        <v>110.20000000000002</v>
      </c>
      <c r="C21" s="11">
        <v>59.5</v>
      </c>
      <c r="D21" s="11">
        <v>18.600000000000001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F8BE59E-FB80-4963-A340-522AFABFF5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database_24_25</vt:lpstr>
      <vt:lpstr>10 Mejores Anotadores</vt:lpstr>
      <vt:lpstr>Estadisticas por equipo</vt:lpstr>
      <vt:lpstr>Eficiencia</vt:lpstr>
      <vt:lpstr>Comparacion de Jugadores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Agustin Palombo</dc:creator>
  <cp:lastModifiedBy>Agustin Palombo</cp:lastModifiedBy>
  <dcterms:created xsi:type="dcterms:W3CDTF">2025-01-08T05:41:11Z</dcterms:created>
  <dcterms:modified xsi:type="dcterms:W3CDTF">2025-01-09T23:34:38Z</dcterms:modified>
</cp:coreProperties>
</file>